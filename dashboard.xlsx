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C:\Users\mohda\Downloads\"/>
    </mc:Choice>
  </mc:AlternateContent>
  <xr:revisionPtr revIDLastSave="0" documentId="8_{38E41AA0-073D-4E8C-8A9A-9E23141EC01F}" xr6:coauthVersionLast="47" xr6:coauthVersionMax="47" xr10:uidLastSave="{00000000-0000-0000-0000-000000000000}"/>
  <bookViews>
    <workbookView xWindow="-108" yWindow="-108" windowWidth="23256" windowHeight="12456" activeTab="1" autoFilterDateGrouping="0" xr2:uid="{00000000-000D-0000-FFFF-FFFF00000000}"/>
  </bookViews>
  <sheets>
    <sheet name="Pivot Report" sheetId="1" r:id="rId1"/>
    <sheet name="Dashboard" sheetId="2" r:id="rId2"/>
    <sheet name="Daily No. of Patients" sheetId="3" r:id="rId3"/>
    <sheet name="Average Wait Time Daily Trend" sheetId="4" r:id="rId4"/>
    <sheet name="Satisfaction Score Daily Trend" sheetId="5" r:id="rId5"/>
  </sheets>
  <definedNames>
    <definedName name="Slicer_Date__Month">#N/A</definedName>
    <definedName name="Slicer_Date__Year">#N/A</definedName>
  </definedNames>
  <calcPr calcId="191029"/>
  <pivotCaches>
    <pivotCache cacheId="473" r:id="rId6"/>
    <pivotCache cacheId="476" r:id="rId7"/>
    <pivotCache cacheId="479" r:id="rId8"/>
    <pivotCache cacheId="482" r:id="rId9"/>
    <pivotCache cacheId="485" r:id="rId10"/>
    <pivotCache cacheId="488" r:id="rId11"/>
    <pivotCache cacheId="491" r:id="rId12"/>
    <pivotCache cacheId="494" r:id="rId13"/>
    <pivotCache cacheId="497" r:id="rId14"/>
    <pivotCache cacheId="500" r:id="rId15"/>
    <pivotCache cacheId="503" r:id="rId16"/>
    <pivotCache cacheId="506" r:id="rId17"/>
  </pivotCaches>
  <extLst>
    <ext xmlns:x14="http://schemas.microsoft.com/office/spreadsheetml/2009/9/main" uri="{876F7934-8845-4945-9796-88D515C7AA90}">
      <x14:pivotCaches>
        <pivotCache cacheId="36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53f6e0c-967e-4559-a2f0-5bf4ba42281f" name="Hospital Emergency Room Data" connection="Query - Hospital Emergency Room Data"/>
          <x15:modelTable id="Calendar_Table_6a56d256-dcdc-40cd-9008-a6f0c5db5a66"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7" i="1" l="1"/>
  <c r="T7" i="1"/>
  <c r="R8" i="1"/>
  <c r="S8" i="1"/>
  <c r="T8" i="1"/>
  <c r="R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EF2CE2-63DE-4B9B-A69F-6A8A621579E2}" name="Query - Calendar_Table" description="Connection to the 'Calendar_Table' query in the workbook." type="100" refreshedVersion="7" minRefreshableVersion="5">
    <extLst>
      <ext xmlns:x15="http://schemas.microsoft.com/office/spreadsheetml/2010/11/main" uri="{DE250136-89BD-433C-8126-D09CA5730AF9}">
        <x15:connection id="5e3bc91c-457a-4c64-9fd3-b50ce4ce6d06">
          <x15:oledbPr connection="Provider=Microsoft.Mashup.OleDb.1;Data Source=$Workbook$;Location=Calendar_Table;Extended Properties=&quot;&quot;">
            <x15:dbTables>
              <x15:dbTable name="Calendar_Table"/>
            </x15:dbTables>
          </x15:oledbPr>
        </x15:connection>
      </ext>
    </extLst>
  </connection>
  <connection id="2" xr16:uid="{C4E743C0-E790-4040-B332-4834AE3C1B14}"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a5d0d7f6-f361-4952-9f4c-70fb89d467ed"/>
      </ext>
    </extLst>
  </connection>
  <connection id="3" xr16:uid="{0B92BDC8-F67F-4EDC-9AF6-44A1FB1A06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<sst xmlns="http://schemas.openxmlformats.org/spreadsheetml/2006/main" count="152" uniqueCount="76">
  <si>
    <t>Distinct Count of Patient Id</t>
  </si>
  <si>
    <t>No. of patients</t>
  </si>
  <si>
    <t>Average of Patient Waittime</t>
  </si>
  <si>
    <t>Average of Patient Satisfaction Score</t>
  </si>
  <si>
    <t>Row Labels</t>
  </si>
  <si>
    <t>Grand Total</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</si>
  <si>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</si>
  <si>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</si>
  <si>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</si>
  <si>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</si>
  <si>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</si>
  <si>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</si>
  <si>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</si>
  <si>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</si>
  <si>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</si>
  <si>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</si>
  <si>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</si>
  <si>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</si>
  <si>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</si>
  <si>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</si>
  <si>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</si>
  <si>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</si>
  <si>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</si>
  <si>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</si>
  <si>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</si>
  <si>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</si>
  <si>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</si>
  <si>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</si>
  <si>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</si>
  <si>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</si>
  <si>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</si>
  <si>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</si>
  <si>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</si>
  <si>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</si>
  <si>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</si>
  <si>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</si>
  <si>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Use an Area chart to track daily changes and highlight days with longer wait times that might need improvements</t>
  </si>
  <si>
    <t>Showing a daily trend with Area Chart to spot patterns like busy or seasonal trends</t>
  </si>
  <si>
    <t>Use an Area chart to show trends, spot drops in satisfaction, and link them to busy times or challenges.</t>
  </si>
  <si>
    <t>Satisfaction Score</t>
  </si>
  <si>
    <t>Delay</t>
  </si>
  <si>
    <t>Ontime</t>
  </si>
  <si>
    <t>Count of Patient Attend Status</t>
  </si>
  <si>
    <t>Count of Patient Admission Flag</t>
  </si>
  <si>
    <t>Admitted</t>
  </si>
  <si>
    <t>Not Admitted</t>
  </si>
  <si>
    <t>Count of Patient Admission Flag2</t>
  </si>
  <si>
    <t>Admission Status</t>
  </si>
  <si>
    <t>No. of Patients</t>
  </si>
  <si>
    <t>%Status</t>
  </si>
  <si>
    <t>0-09</t>
  </si>
  <si>
    <t>10-19</t>
  </si>
  <si>
    <t>20-29</t>
  </si>
  <si>
    <t>30-39</t>
  </si>
  <si>
    <t>40-49</t>
  </si>
  <si>
    <t>50-59</t>
  </si>
  <si>
    <t>60-69</t>
  </si>
  <si>
    <t>70-79</t>
  </si>
  <si>
    <t>Count of Age Group</t>
  </si>
  <si>
    <t xml:space="preserve"> </t>
  </si>
  <si>
    <t>age group wise analysis</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</si>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</sst>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2"/>
      <color theme="1"/>
      <name val="Aptos Narrow"/>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0"/>
        <bgColor indexed="64"/>
      </patternFill>
    </fill>
    <fill>
      <patternFill patternType="solid">
        <fgColor rgb="FF34699A"/>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2"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2" fillId="0" borderId="0" xfId="0" applyFont="1"/>
    <xf numFmtId="10" fontId="0" fillId="0" borderId="0" xfId="0" applyNumberFormat="1"/>
    <xf numFmtId="1" fontId="0" fillId="0" borderId="0" xfId="0" applyNumberFormat="1"/>
    <xf numFmtId="0" fontId="0" fillId="3" borderId="0" xfId="0" applyFill="1"/>
    <xf numFmtId="0" fontId="0" fillId="3" borderId="0" xfId="0" applyFill="1" applyAlignment="1">
      <alignment horizontal="center"/>
    </xf>
    <xf numFmtId="0" fontId="0" fillId="4" borderId="0" xfId="0" applyFill="1" applyAlignment="1">
      <alignment horizontal="center"/>
    </xf>
    <xf numFmtId="10" fontId="0" fillId="4" borderId="0" xfId="0" applyNumberFormat="1" applyFill="1" applyAlignment="1">
      <alignment horizontal="center"/>
    </xf>
    <xf numFmtId="0" fontId="0" fillId="4" borderId="0" xfId="0" applyFill="1"/>
    <xf numFmtId="0" fontId="0" fillId="5" borderId="0" xfId="0" applyFill="1"/>
    <xf numFmtId="0" fontId="0" fillId="0" borderId="0" xfId="0" applyNumberFormat="1"/>
  </cellXfs>
  <cellStyles count="1">
    <cellStyle name="Normal" xfId="0" builtinId="0"/>
  </cellStyles>
  <dxfs count="72">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1" formatCode="0"/>
    </dxf>
    <dxf>
      <numFmt numFmtId="2" formatCode="0.00"/>
    </dxf>
    <dxf>
      <numFmt numFmtId="2" formatCode="0.00"/>
    </dxf>
    <dxf>
      <font>
        <b/>
        <color theme="1"/>
      </font>
      <border>
        <bottom style="thin">
          <color theme="8"/>
        </bottom>
        <vertical/>
        <horizontal/>
      </border>
    </dxf>
    <dxf>
      <font>
        <sz val="12"/>
        <color theme="4" tint="0.59996337778862885"/>
        <name val="Aptos Narrow"/>
        <family val="2"/>
        <scheme val="none"/>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C0DC1515-7A25-4431-9A37-CC2347F3A71D}">
      <tableStyleElement type="wholeTable" dxfId="71"/>
      <tableStyleElement type="headerRow" dxfId="70"/>
    </tableStyle>
  </tableStyles>
  <colors>
    <mruColors>
      <color rgb="FF34699A"/>
      <color rgb="FF78B9B5"/>
      <color rgb="FFA3DC9A"/>
      <color rgb="FFF5F2CF"/>
      <color rgb="FF578FCA"/>
      <color rgb="FFD9A299"/>
      <color rgb="FFF0E4D3"/>
      <color rgb="FFEA5B6F"/>
      <color rgb="FF58A0C8"/>
      <color rgb="FF113F6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5117038483843"/>
              <bgColor theme="0" tint="-0.149967955565050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4659260841701"/>
              <bgColor theme="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8078FE2-7DF3-46C2-8233-0301C2A0361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30D585-1623-44B1-A53B-832DE8BF5D1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5"/>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8078FE2-7DF3-46C2-8233-0301C2A0361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6"/>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30D585-1623-44B1-A53B-832DE8BF5D1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c:spPr>
        <c:dLbl>
          <c:idx val="0"/>
          <c:layout>
            <c:manualLayout>
              <c:x val="-4.3644260866984514E-7"/>
              <c:y val="-1.0202294632629026E-2"/>
            </c:manualLayout>
          </c:layout>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8BE359C-3449-4EC6-B033-59BDB2484CB8}"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40529108103342615"/>
                  <c:h val="0.26495439493966189"/>
                </c:manualLayout>
              </c15:layout>
              <c15:dlblFieldTable/>
              <c15:showDataLabelsRange val="1"/>
            </c:ext>
          </c:extLst>
        </c:dLbl>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055592214961297E-2"/>
          <c:y val="0.22695052359451506"/>
          <c:w val="0.4683440118634567"/>
          <c:h val="0.58392404007672238"/>
        </c:manualLayout>
      </c:layout>
      <c:barChart>
        <c:barDir val="bar"/>
        <c:grouping val="clustered"/>
        <c:varyColors val="0"/>
        <c:ser>
          <c:idx val="0"/>
          <c:order val="0"/>
          <c:tx>
            <c:strRef>
              <c:f>'Pivot Report'!$E$2:$E$3</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B-678F-4528-B60F-AF3E5E854C11}"/>
              </c:ext>
            </c:extLst>
          </c:dPt>
          <c:dLbls>
            <c:dLbl>
              <c:idx val="0"/>
              <c:layout>
                <c:manualLayout>
                  <c:x val="-4.3644260866984514E-7"/>
                  <c:y val="-1.0202294632629026E-2"/>
                </c:manualLayout>
              </c:layout>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8BE359C-3449-4EC6-B033-59BDB2484CB8}"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40529108103342615"/>
                      <c:h val="0.26495439493966189"/>
                    </c:manualLayout>
                  </c15:layout>
                  <c15:dlblFieldTable/>
                  <c15:showDataLabelsRange val="1"/>
                </c:ext>
                <c:ext xmlns:c16="http://schemas.microsoft.com/office/drawing/2014/chart" uri="{C3380CC4-5D6E-409C-BE32-E72D297353CC}">
                  <c16:uniqueId val="{0000000B-678F-4528-B60F-AF3E5E854C11}"/>
                </c:ext>
              </c:extLst>
            </c:dLbl>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'Pivot Report'!$E$2:$E$3</c:f>
              <c:strCache>
                <c:ptCount val="2"/>
                <c:pt idx="0">
                  <c:v>Admitted</c:v>
                </c:pt>
                <c:pt idx="1">
                  <c:v>Not Admitted</c:v>
                </c:pt>
              </c:strCache>
            </c:strRef>
          </c:cat>
          <c:val>
            <c:numRef>
              <c:f>'Pivot Report'!$E$2:$E$3</c:f>
              <c:numCache>
                <c:formatCode>0.00</c:formatCode>
                <c:ptCount val="2"/>
                <c:pt idx="0">
                  <c:v>217</c:v>
                </c:pt>
                <c:pt idx="1">
                  <c:v>252</c:v>
                </c:pt>
              </c:numCache>
            </c:numRef>
          </c:val>
          <c:extLst>
            <c:ext xmlns:c15="http://schemas.microsoft.com/office/drawing/2012/chart" uri="{02D57815-91ED-43cb-92C2-25804820EDAC}">
              <c15:datalabelsRange>
                <c15:f>'Pivot Report'!$E$2:$E$3</c15:f>
                <c15:dlblRangeCache>
                  <c:ptCount val="2"/>
                  <c:pt idx="0">
                    <c:v>46.27%</c:v>
                  </c:pt>
                  <c:pt idx="1">
                    <c:v>53.73%</c:v>
                  </c:pt>
                </c15:dlblRangeCache>
              </c15:datalabelsRange>
            </c:ext>
            <c:ext xmlns:c16="http://schemas.microsoft.com/office/drawing/2014/chart" uri="{C3380CC4-5D6E-409C-BE32-E72D297353CC}">
              <c16:uniqueId val="{00000009-678F-4528-B60F-AF3E5E854C11}"/>
            </c:ext>
          </c:extLst>
        </c:ser>
        <c:ser>
          <c:idx val="1"/>
          <c:order val="1"/>
          <c:tx>
            <c:strRef>
              <c:f>'Pivot Report'!$E$2:$E$3</c:f>
              <c:strCache>
                <c:ptCount val="1"/>
                <c:pt idx="0">
                  <c:v>Count of Patient Admission Flag2</c:v>
                </c:pt>
              </c:strCache>
            </c:strRef>
          </c:tx>
          <c:spPr>
            <a:solidFill>
              <a:schemeClr val="accent2"/>
            </a:solidFill>
            <a:ln>
              <a:noFill/>
            </a:ln>
            <a:effectLst/>
          </c:spPr>
          <c:invertIfNegative val="0"/>
          <c:cat>
            <c:strRef>
              <c:f>'Pivot Report'!$E$2:$E$3</c:f>
              <c:strCache>
                <c:ptCount val="2"/>
                <c:pt idx="0">
                  <c:v>Admitted</c:v>
                </c:pt>
                <c:pt idx="1">
                  <c:v>Not Admitted</c:v>
                </c:pt>
              </c:strCache>
            </c:strRef>
          </c:cat>
          <c:val>
            <c:numRef>
              <c:f>'Pivot Report'!$E$2:$E$3</c:f>
              <c:numCache>
                <c:formatCode>0.00%</c:formatCode>
                <c:ptCount val="2"/>
                <c:pt idx="0">
                  <c:v>0.46268656716417911</c:v>
                </c:pt>
                <c:pt idx="1">
                  <c:v>0.53731343283582089</c:v>
                </c:pt>
              </c:numCache>
            </c:numRef>
          </c:val>
          <c:extLst>
            <c:ext xmlns:c16="http://schemas.microsoft.com/office/drawing/2014/chart" uri="{C3380CC4-5D6E-409C-BE32-E72D297353CC}">
              <c16:uniqueId val="{0000000A-678F-4528-B60F-AF3E5E854C11}"/>
            </c:ext>
          </c:extLst>
        </c:ser>
        <c:dLbls>
          <c:showLegendKey val="0"/>
          <c:showVal val="0"/>
          <c:showCatName val="0"/>
          <c:showSerName val="0"/>
          <c:showPercent val="0"/>
          <c:showBubbleSize val="0"/>
        </c:dLbls>
        <c:gapWidth val="54"/>
        <c:overlap val="69"/>
        <c:axId val="1085734320"/>
        <c:axId val="1085738064"/>
      </c:barChart>
      <c:catAx>
        <c:axId val="1085734320"/>
        <c:scaling>
          <c:orientation val="minMax"/>
        </c:scaling>
        <c:delete val="1"/>
        <c:axPos val="l"/>
        <c:numFmt formatCode="General" sourceLinked="1"/>
        <c:majorTickMark val="none"/>
        <c:minorTickMark val="none"/>
        <c:tickLblPos val="nextTo"/>
        <c:crossAx val="1085738064"/>
        <c:crosses val="autoZero"/>
        <c:auto val="1"/>
        <c:lblAlgn val="ctr"/>
        <c:lblOffset val="100"/>
        <c:noMultiLvlLbl val="0"/>
      </c:catAx>
      <c:valAx>
        <c:axId val="1085738064"/>
        <c:scaling>
          <c:orientation val="minMax"/>
        </c:scaling>
        <c:delete val="1"/>
        <c:axPos val="b"/>
        <c:numFmt formatCode="0.00" sourceLinked="1"/>
        <c:majorTickMark val="none"/>
        <c:minorTickMark val="none"/>
        <c:tickLblPos val="nextTo"/>
        <c:crossAx val="10857343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64329053669002"/>
          <c:w val="1"/>
          <c:h val="0.89356709463309991"/>
        </c:manualLayout>
      </c:layout>
      <c:areaChart>
        <c:grouping val="standard"/>
        <c:varyColors val="0"/>
        <c:ser>
          <c:idx val="0"/>
          <c:order val="0"/>
          <c:tx>
            <c:strRef>
              <c:f>'Pivot Report'!$I$6</c:f>
              <c:strCache>
                <c:ptCount val="1"/>
                <c:pt idx="0">
                  <c:v>Total</c:v>
                </c:pt>
              </c:strCache>
            </c:strRef>
          </c:tx>
          <c:spPr>
            <a:solidFill>
              <a:schemeClr val="accent1"/>
            </a:solidFill>
            <a:ln w="25400">
              <a:noFill/>
            </a:ln>
            <a:effectLst/>
          </c:spPr>
          <c:cat>
            <c:strRef>
              <c:f>'Pivot Report'!$H$7:$H$37</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Report'!$I$7:$I$37</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3-71B1-4C70-8304-B9E1A9EDC61A}"/>
            </c:ext>
          </c:extLst>
        </c:ser>
        <c:dLbls>
          <c:showLegendKey val="0"/>
          <c:showVal val="0"/>
          <c:showCatName val="0"/>
          <c:showSerName val="0"/>
          <c:showPercent val="0"/>
          <c:showBubbleSize val="0"/>
        </c:dLbls>
        <c:axId val="1412666287"/>
        <c:axId val="1412666703"/>
      </c:areaChart>
      <c:catAx>
        <c:axId val="1412666287"/>
        <c:scaling>
          <c:orientation val="minMax"/>
        </c:scaling>
        <c:delete val="1"/>
        <c:axPos val="b"/>
        <c:numFmt formatCode="General" sourceLinked="1"/>
        <c:majorTickMark val="out"/>
        <c:minorTickMark val="none"/>
        <c:tickLblPos val="nextTo"/>
        <c:crossAx val="1412666703"/>
        <c:crosses val="autoZero"/>
        <c:auto val="1"/>
        <c:lblAlgn val="ctr"/>
        <c:lblOffset val="100"/>
        <c:noMultiLvlLbl val="0"/>
      </c:catAx>
      <c:valAx>
        <c:axId val="1412666703"/>
        <c:scaling>
          <c:orientation val="minMax"/>
        </c:scaling>
        <c:delete val="1"/>
        <c:axPos val="l"/>
        <c:numFmt formatCode="General" sourceLinked="1"/>
        <c:majorTickMark val="none"/>
        <c:minorTickMark val="none"/>
        <c:tickLblPos val="nextTo"/>
        <c:crossAx val="141266628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150000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255420181163735"/>
          <c:w val="1"/>
          <c:h val="0.86744579818836265"/>
        </c:manualLayout>
      </c:layout>
      <c:areaChart>
        <c:grouping val="standard"/>
        <c:varyColors val="0"/>
        <c:ser>
          <c:idx val="0"/>
          <c:order val="0"/>
          <c:tx>
            <c:strRef>
              <c:f>'Pivot Report'!$M$6</c:f>
              <c:strCache>
                <c:ptCount val="1"/>
                <c:pt idx="0">
                  <c:v>Total</c:v>
                </c:pt>
              </c:strCache>
            </c:strRef>
          </c:tx>
          <c:spPr>
            <a:solidFill>
              <a:schemeClr val="accent1"/>
            </a:solidFill>
            <a:ln w="25400">
              <a:noFill/>
            </a:ln>
            <a:effectLst/>
          </c:spPr>
          <c:cat>
            <c:strRef>
              <c:f>'Pivot Report'!$L$7:$L$37</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Report'!$M$7:$M$37</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4-07A9-45D1-ADAE-B8A0A4889411}"/>
            </c:ext>
          </c:extLst>
        </c:ser>
        <c:dLbls>
          <c:showLegendKey val="0"/>
          <c:showVal val="0"/>
          <c:showCatName val="0"/>
          <c:showSerName val="0"/>
          <c:showPercent val="0"/>
          <c:showBubbleSize val="0"/>
        </c:dLbls>
        <c:axId val="1933580544"/>
        <c:axId val="1933584288"/>
      </c:areaChart>
      <c:catAx>
        <c:axId val="1933580544"/>
        <c:scaling>
          <c:orientation val="minMax"/>
        </c:scaling>
        <c:delete val="1"/>
        <c:axPos val="b"/>
        <c:numFmt formatCode="General" sourceLinked="1"/>
        <c:majorTickMark val="out"/>
        <c:minorTickMark val="none"/>
        <c:tickLblPos val="nextTo"/>
        <c:crossAx val="1933584288"/>
        <c:crosses val="autoZero"/>
        <c:auto val="1"/>
        <c:lblAlgn val="ctr"/>
        <c:lblOffset val="100"/>
        <c:noMultiLvlLbl val="0"/>
      </c:catAx>
      <c:valAx>
        <c:axId val="1933584288"/>
        <c:scaling>
          <c:orientation val="minMax"/>
        </c:scaling>
        <c:delete val="1"/>
        <c:axPos val="l"/>
        <c:numFmt formatCode="0.00" sourceLinked="1"/>
        <c:majorTickMark val="none"/>
        <c:minorTickMark val="none"/>
        <c:tickLblPos val="nextTo"/>
        <c:crossAx val="1933580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960259601733153"/>
          <c:w val="1"/>
          <c:h val="0.8503974039826685"/>
        </c:manualLayout>
      </c:layout>
      <c:areaChart>
        <c:grouping val="standard"/>
        <c:varyColors val="0"/>
        <c:ser>
          <c:idx val="0"/>
          <c:order val="0"/>
          <c:tx>
            <c:strRef>
              <c:f>'Pivot Report'!$P$6</c:f>
              <c:strCache>
                <c:ptCount val="1"/>
                <c:pt idx="0">
                  <c:v>Total</c:v>
                </c:pt>
              </c:strCache>
            </c:strRef>
          </c:tx>
          <c:spPr>
            <a:solidFill>
              <a:schemeClr val="accent1"/>
            </a:solidFill>
            <a:ln w="25400">
              <a:noFill/>
            </a:ln>
            <a:effectLst/>
          </c:spPr>
          <c:cat>
            <c:strRef>
              <c:f>'Pivot Report'!$O$7:$O$34</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Report'!$P$7:$P$34</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4-61EC-499C-92D8-0B7EFD10ED72}"/>
            </c:ext>
          </c:extLst>
        </c:ser>
        <c:dLbls>
          <c:showLegendKey val="0"/>
          <c:showVal val="0"/>
          <c:showCatName val="0"/>
          <c:showSerName val="0"/>
          <c:showPercent val="0"/>
          <c:showBubbleSize val="0"/>
        </c:dLbls>
        <c:axId val="1939389824"/>
        <c:axId val="1939388992"/>
      </c:areaChart>
      <c:catAx>
        <c:axId val="1939389824"/>
        <c:scaling>
          <c:orientation val="minMax"/>
        </c:scaling>
        <c:delete val="1"/>
        <c:axPos val="b"/>
        <c:numFmt formatCode="General" sourceLinked="1"/>
        <c:majorTickMark val="out"/>
        <c:minorTickMark val="none"/>
        <c:tickLblPos val="nextTo"/>
        <c:crossAx val="1939388992"/>
        <c:crosses val="autoZero"/>
        <c:auto val="1"/>
        <c:lblAlgn val="ctr"/>
        <c:lblOffset val="100"/>
        <c:noMultiLvlLbl val="0"/>
      </c:catAx>
      <c:valAx>
        <c:axId val="1939388992"/>
        <c:scaling>
          <c:orientation val="minMax"/>
        </c:scaling>
        <c:delete val="1"/>
        <c:axPos val="l"/>
        <c:numFmt formatCode="0.00" sourceLinked="1"/>
        <c:majorTickMark val="none"/>
        <c:minorTickMark val="none"/>
        <c:tickLblPos val="nextTo"/>
        <c:crossAx val="19393898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231209807055088E-2"/>
          <c:y val="3.9644572361489827E-2"/>
          <c:w val="0.94753758038588987"/>
          <c:h val="0.77403738347903495"/>
        </c:manualLayout>
      </c:layout>
      <c:barChart>
        <c:barDir val="col"/>
        <c:grouping val="clustered"/>
        <c:varyColors val="0"/>
        <c:ser>
          <c:idx val="0"/>
          <c:order val="0"/>
          <c:tx>
            <c:strRef>
              <c:f>'Pivot Report'!$S$12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Report'!$R$13:$R$21</c:f>
              <c:strCache>
                <c:ptCount val="8"/>
                <c:pt idx="0">
                  <c:v>0-09</c:v>
                </c:pt>
                <c:pt idx="1">
                  <c:v>10-19</c:v>
                </c:pt>
                <c:pt idx="2">
                  <c:v>20-29</c:v>
                </c:pt>
                <c:pt idx="3">
                  <c:v>30-39</c:v>
                </c:pt>
                <c:pt idx="4">
                  <c:v>40-49</c:v>
                </c:pt>
                <c:pt idx="5">
                  <c:v>50-59</c:v>
                </c:pt>
                <c:pt idx="6">
                  <c:v>60-69</c:v>
                </c:pt>
                <c:pt idx="7">
                  <c:v>70-79</c:v>
                </c:pt>
              </c:strCache>
            </c:strRef>
          </c:cat>
          <c:val>
            <c:numRef>
              <c:f>'Pivot Report'!$S$13:$S$21</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4-29BB-451C-82BC-87E173193B9A}"/>
            </c:ext>
          </c:extLst>
        </c:ser>
        <c:dLbls>
          <c:showLegendKey val="0"/>
          <c:showVal val="0"/>
          <c:showCatName val="0"/>
          <c:showSerName val="0"/>
          <c:showPercent val="0"/>
          <c:showBubbleSize val="0"/>
        </c:dLbls>
        <c:gapWidth val="219"/>
        <c:overlap val="-27"/>
        <c:axId val="1085777584"/>
        <c:axId val="1085775920"/>
      </c:barChart>
      <c:catAx>
        <c:axId val="108577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775920"/>
        <c:crosses val="autoZero"/>
        <c:auto val="1"/>
        <c:lblAlgn val="ctr"/>
        <c:lblOffset val="100"/>
        <c:noMultiLvlLbl val="0"/>
      </c:catAx>
      <c:valAx>
        <c:axId val="1085775920"/>
        <c:scaling>
          <c:orientation val="minMax"/>
        </c:scaling>
        <c:delete val="1"/>
        <c:axPos val="l"/>
        <c:numFmt formatCode="0" sourceLinked="1"/>
        <c:majorTickMark val="none"/>
        <c:minorTickMark val="none"/>
        <c:tickLblPos val="nextTo"/>
        <c:crossAx val="108577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6012838863889561"/>
          <c:y val="0.1841991947043185"/>
          <c:w val="0.49675672235869667"/>
          <c:h val="0.67784068943777986"/>
        </c:manualLayout>
      </c:layout>
      <c:pieChart>
        <c:varyColors val="1"/>
        <c:ser>
          <c:idx val="0"/>
          <c:order val="0"/>
          <c:tx>
            <c:strRef>
              <c:f>'Pivot Report'!$S$25</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6E9E-4F5B-814D-32D0BBED73F6}"/>
              </c:ext>
            </c:extLst>
          </c:dPt>
          <c:dPt>
            <c:idx val="1"/>
            <c:bubble3D val="0"/>
            <c:spPr>
              <a:solidFill>
                <a:schemeClr val="accent2"/>
              </a:solidFill>
              <a:ln>
                <a:noFill/>
              </a:ln>
              <a:effectLst/>
            </c:spPr>
            <c:extLst>
              <c:ext xmlns:c16="http://schemas.microsoft.com/office/drawing/2014/chart" uri="{C3380CC4-5D6E-409C-BE32-E72D297353CC}">
                <c16:uniqueId val="{00000003-6E9E-4F5B-814D-32D0BBED73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Report'!$R$26:$R$28</c:f>
              <c:strCache>
                <c:ptCount val="2"/>
                <c:pt idx="0">
                  <c:v>Delay</c:v>
                </c:pt>
                <c:pt idx="1">
                  <c:v>Ontime</c:v>
                </c:pt>
              </c:strCache>
            </c:strRef>
          </c:cat>
          <c:val>
            <c:numRef>
              <c:f>'Pivot Report'!$S$26:$S$28</c:f>
              <c:numCache>
                <c:formatCode>0</c:formatCode>
                <c:ptCount val="2"/>
                <c:pt idx="0">
                  <c:v>268</c:v>
                </c:pt>
                <c:pt idx="1">
                  <c:v>201</c:v>
                </c:pt>
              </c:numCache>
            </c:numRef>
          </c:val>
          <c:extLst>
            <c:ext xmlns:c16="http://schemas.microsoft.com/office/drawing/2014/chart" uri="{C3380CC4-5D6E-409C-BE32-E72D297353CC}">
              <c16:uniqueId val="{00000008-3D8E-4FC0-83F3-FACDE423B6A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031820820787662"/>
          <c:y val="4.3545442109708156E-2"/>
          <c:w val="0.52044646608702327"/>
          <c:h val="0.14342232822043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1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251716195429182"/>
          <c:y val="0.16246583681610885"/>
          <c:w val="0.36311806036423855"/>
          <c:h val="0.71476847194853899"/>
        </c:manualLayout>
      </c:layout>
      <c:doughnutChart>
        <c:varyColors val="1"/>
        <c:ser>
          <c:idx val="0"/>
          <c:order val="0"/>
          <c:tx>
            <c:strRef>
              <c:f>'Pivot Report'!$S$31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389-4632-BED6-A64E2A73E9EB}"/>
              </c:ext>
            </c:extLst>
          </c:dPt>
          <c:dPt>
            <c:idx val="1"/>
            <c:bubble3D val="0"/>
            <c:spPr>
              <a:solidFill>
                <a:schemeClr val="accent2"/>
              </a:solidFill>
              <a:ln>
                <a:noFill/>
              </a:ln>
              <a:effectLst/>
            </c:spPr>
            <c:extLst>
              <c:ext xmlns:c16="http://schemas.microsoft.com/office/drawing/2014/chart" uri="{C3380CC4-5D6E-409C-BE32-E72D297353CC}">
                <c16:uniqueId val="{00000003-8389-4632-BED6-A64E2A73E9EB}"/>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Report'!$R$32:$R$34</c:f>
              <c:strCache>
                <c:ptCount val="2"/>
                <c:pt idx="0">
                  <c:v>Female</c:v>
                </c:pt>
                <c:pt idx="1">
                  <c:v>Male</c:v>
                </c:pt>
              </c:strCache>
            </c:strRef>
          </c:cat>
          <c:val>
            <c:numRef>
              <c:f>'Pivot Report'!$S$32:$S$34</c:f>
              <c:numCache>
                <c:formatCode>0.00</c:formatCode>
                <c:ptCount val="2"/>
                <c:pt idx="0">
                  <c:v>241</c:v>
                </c:pt>
                <c:pt idx="1">
                  <c:v>228</c:v>
                </c:pt>
              </c:numCache>
            </c:numRef>
          </c:val>
          <c:extLst>
            <c:ext xmlns:c16="http://schemas.microsoft.com/office/drawing/2014/chart" uri="{C3380CC4-5D6E-409C-BE32-E72D297353CC}">
              <c16:uniqueId val="{00000008-7F6D-4014-8380-FCC129EBE4FA}"/>
            </c:ext>
          </c:extLst>
        </c:ser>
        <c:dLbls>
          <c:showLegendKey val="0"/>
          <c:showVal val="0"/>
          <c:showCatName val="0"/>
          <c:showSerName val="0"/>
          <c:showPercent val="1"/>
          <c:showBubbleSize val="0"/>
          <c:showLeaderLines val="1"/>
        </c:dLbls>
        <c:firstSliceAng val="0"/>
        <c:holeSize val="65"/>
      </c:doughnutChart>
      <c:spPr>
        <a:noFill/>
        <a:ln>
          <a:noFill/>
        </a:ln>
        <a:effectLst/>
      </c:spPr>
    </c:plotArea>
    <c:legend>
      <c:legendPos val="r"/>
      <c:layout>
        <c:manualLayout>
          <c:xMode val="edge"/>
          <c:yMode val="edge"/>
          <c:x val="0.14909569857587657"/>
          <c:y val="1.8513821469100394E-2"/>
          <c:w val="0.45732133086052701"/>
          <c:h val="0.12829446854003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21014209175911"/>
          <c:y val="4.6901956729180828E-2"/>
          <c:w val="0.65683297948798192"/>
          <c:h val="0.92062745784292477"/>
        </c:manualLayout>
      </c:layout>
      <c:barChart>
        <c:barDir val="bar"/>
        <c:grouping val="clustered"/>
        <c:varyColors val="0"/>
        <c:ser>
          <c:idx val="0"/>
          <c:order val="0"/>
          <c:tx>
            <c:strRef>
              <c:f>'Pivot Report'!$S$37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Report'!$R$38:$R$46</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Report'!$S$38:$S$46</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4-544B-49D4-8192-ADD622AFA471}"/>
            </c:ext>
          </c:extLst>
        </c:ser>
        <c:dLbls>
          <c:showLegendKey val="0"/>
          <c:showVal val="0"/>
          <c:showCatName val="0"/>
          <c:showSerName val="0"/>
          <c:showPercent val="0"/>
          <c:showBubbleSize val="0"/>
        </c:dLbls>
        <c:gapWidth val="157"/>
        <c:axId val="1085804208"/>
        <c:axId val="1085808368"/>
      </c:barChart>
      <c:catAx>
        <c:axId val="108580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808368"/>
        <c:crosses val="autoZero"/>
        <c:auto val="1"/>
        <c:lblAlgn val="ctr"/>
        <c:lblOffset val="100"/>
        <c:noMultiLvlLbl val="0"/>
      </c:catAx>
      <c:valAx>
        <c:axId val="1085808368"/>
        <c:scaling>
          <c:orientation val="minMax"/>
        </c:scaling>
        <c:delete val="1"/>
        <c:axPos val="b"/>
        <c:numFmt formatCode="0" sourceLinked="1"/>
        <c:majorTickMark val="none"/>
        <c:minorTickMark val="none"/>
        <c:tickLblPos val="nextTo"/>
        <c:crossAx val="108580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pivotFmt>
    </c:pivotFmts>
    <c:plotArea>
      <c:layout/>
      <c:areaChart>
        <c:grouping val="standard"/>
        <c:varyColors val="0"/>
        <c:ser>
          <c:idx val="0"/>
          <c:order val="0"/>
          <c:tx>
            <c:strRef>
              <c:f>'Pivot Report'!$I$6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Pt>
            <c:idx val="128"/>
            <c:bubble3D val="0"/>
            <c:extLst>
              <c:ext xmlns:c16="http://schemas.microsoft.com/office/drawing/2014/chart" uri="{C3380CC4-5D6E-409C-BE32-E72D297353CC}">
                <c16:uniqueId val="{00000000-3F66-4C50-9BC7-7D069A9A1B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 Report'!$H$7:$H$37</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Report'!$I$7:$I$37</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3-376D-47C6-B91C-AF6B8CB4F88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12666287"/>
        <c:axId val="1412666703"/>
      </c:areaChart>
      <c:catAx>
        <c:axId val="1412666287"/>
        <c:scaling>
          <c:orientation val="minMax"/>
        </c:scaling>
        <c:delete val="0"/>
        <c:axPos val="b"/>
        <c:numFmt formatCode="General" sourceLinked="1"/>
        <c:majorTickMark val="none"/>
        <c:minorTickMark val="none"/>
        <c:tickLblPos val="nextTo"/>
        <c:spPr>
          <a:noFill/>
          <a:ln w="9525" cap="flat" cmpd="sng" algn="ctr">
            <a:solidFill>
              <a:schemeClr val="accent5">
                <a:lumMod val="40000"/>
                <a:lumOff val="60000"/>
                <a:alpha val="25000"/>
              </a:schemeClr>
            </a:solidFill>
            <a:round/>
          </a:ln>
          <a:effectLst/>
        </c:spPr>
        <c:txPr>
          <a:bodyPr rot="-324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412666703"/>
        <c:crosses val="autoZero"/>
        <c:auto val="1"/>
        <c:lblAlgn val="ctr"/>
        <c:lblOffset val="100"/>
        <c:noMultiLvlLbl val="0"/>
      </c:catAx>
      <c:valAx>
        <c:axId val="1412666703"/>
        <c:scaling>
          <c:orientation val="minMax"/>
        </c:scaling>
        <c:delete val="1"/>
        <c:axPos val="l"/>
        <c:numFmt formatCode="General" sourceLinked="1"/>
        <c:majorTickMark val="out"/>
        <c:minorTickMark val="none"/>
        <c:tickLblPos val="nextTo"/>
        <c:crossAx val="14126662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27435744172148E-3"/>
          <c:y val="0.12486190187764991"/>
          <c:w val="0.98724845586770271"/>
          <c:h val="0.86231758530183722"/>
        </c:manualLayout>
      </c:layout>
      <c:areaChart>
        <c:grouping val="standard"/>
        <c:varyColors val="0"/>
        <c:ser>
          <c:idx val="0"/>
          <c:order val="0"/>
          <c:tx>
            <c:strRef>
              <c:f>'Pivot Report'!$M$6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Report'!$L$7:$L$37</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Report'!$M$7:$M$37</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4-85D4-448D-A9E4-2E587F35D18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33580544"/>
        <c:axId val="1933584288"/>
      </c:areaChart>
      <c:catAx>
        <c:axId val="19335805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33584288"/>
        <c:crosses val="autoZero"/>
        <c:auto val="1"/>
        <c:lblAlgn val="ctr"/>
        <c:lblOffset val="100"/>
        <c:noMultiLvlLbl val="0"/>
      </c:catAx>
      <c:valAx>
        <c:axId val="1933584288"/>
        <c:scaling>
          <c:orientation val="minMax"/>
        </c:scaling>
        <c:delete val="1"/>
        <c:axPos val="l"/>
        <c:numFmt formatCode="0.00" sourceLinked="1"/>
        <c:majorTickMark val="out"/>
        <c:minorTickMark val="none"/>
        <c:tickLblPos val="nextTo"/>
        <c:crossAx val="1933580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225244571701266E-2"/>
          <c:y val="0.12275690370918399"/>
          <c:w val="0.96659508470532096"/>
          <c:h val="0.81758612388216578"/>
        </c:manualLayout>
      </c:layout>
      <c:areaChart>
        <c:grouping val="standard"/>
        <c:varyColors val="0"/>
        <c:ser>
          <c:idx val="0"/>
          <c:order val="0"/>
          <c:tx>
            <c:strRef>
              <c:f>'Pivot Report'!$P$6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Report'!$O$7:$O$34</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Report'!$P$7:$P$34</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4-230C-4730-8072-56EF74CB633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39389824"/>
        <c:axId val="1939388992"/>
      </c:areaChart>
      <c:catAx>
        <c:axId val="19393898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39388992"/>
        <c:crosses val="autoZero"/>
        <c:auto val="1"/>
        <c:lblAlgn val="ctr"/>
        <c:lblOffset val="100"/>
        <c:noMultiLvlLbl val="0"/>
      </c:catAx>
      <c:valAx>
        <c:axId val="1939388992"/>
        <c:scaling>
          <c:orientation val="minMax"/>
        </c:scaling>
        <c:delete val="1"/>
        <c:axPos val="l"/>
        <c:numFmt formatCode="0.00" sourceLinked="1"/>
        <c:majorTickMark val="out"/>
        <c:minorTickMark val="none"/>
        <c:tickLblPos val="nextTo"/>
        <c:crossAx val="19393898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hyperlink" Target="#'Average Wait Time Daily Trend'!A1"/><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emf"/><Relationship Id="rId5" Type="http://schemas.openxmlformats.org/officeDocument/2006/relationships/hyperlink" Target="#'Daily No. of Patients'!A1"/><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hyperlink" Target="#'Satisfaction Score Daily Trend'!A1"/><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8.sv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0.sv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0.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19</xdr:col>
      <xdr:colOff>516322</xdr:colOff>
      <xdr:row>5</xdr:row>
      <xdr:rowOff>47625</xdr:rowOff>
    </xdr:from>
    <xdr:to>
      <xdr:col>21</xdr:col>
      <xdr:colOff>52552</xdr:colOff>
      <xdr:row>8</xdr:row>
      <xdr:rowOff>98534</xdr:rowOff>
    </xdr:to>
    <xdr:graphicFrame macro="">
      <xdr:nvGraphicFramePr>
        <xdr:cNvPr id="7" name="Chart 6">
          <a:extLst>
            <a:ext uri="{FF2B5EF4-FFF2-40B4-BE49-F238E27FC236}">
              <a16:creationId xmlns:a16="http://schemas.microsoft.com/office/drawing/2014/main" id="{6066EC3D-FEC9-40FB-A3CC-215972FB8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95250</xdr:colOff>
      <xdr:row>0</xdr:row>
      <xdr:rowOff>66675</xdr:rowOff>
    </xdr:from>
    <xdr:to>
      <xdr:col>9</xdr:col>
      <xdr:colOff>57150</xdr:colOff>
      <xdr:row>4</xdr:row>
      <xdr:rowOff>19050</xdr:rowOff>
    </xdr:to>
    <xdr:sp macro="" textlink="">
      <xdr:nvSpPr>
        <xdr:cNvPr id="2" name="Rectangle: Rounded Corners 1">
          <a:extLst>
            <a:ext uri="{FF2B5EF4-FFF2-40B4-BE49-F238E27FC236}">
              <a16:creationId xmlns:a16="http://schemas.microsoft.com/office/drawing/2014/main" id="{D25FD9CE-310E-45EC-80B2-D42B9444D7C0}"/>
            </a:ext>
          </a:extLst>
        </xdr:cNvPr>
        <xdr:cNvSpPr/>
      </xdr:nvSpPr>
      <xdr:spPr>
        <a:xfrm>
          <a:off x="95250" y="66675"/>
          <a:ext cx="5448300" cy="714375"/>
        </a:xfrm>
        <a:prstGeom prst="roundRect">
          <a:avLst>
            <a:gd name="adj" fmla="val 73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142874</xdr:colOff>
      <xdr:row>0</xdr:row>
      <xdr:rowOff>66675</xdr:rowOff>
    </xdr:from>
    <xdr:to>
      <xdr:col>11</xdr:col>
      <xdr:colOff>276225</xdr:colOff>
      <xdr:row>4</xdr:row>
      <xdr:rowOff>19050</xdr:rowOff>
    </xdr:to>
    <xdr:sp macro="" textlink="">
      <xdr:nvSpPr>
        <xdr:cNvPr id="3" name="Rectangle: Rounded Corners 2">
          <a:extLst>
            <a:ext uri="{FF2B5EF4-FFF2-40B4-BE49-F238E27FC236}">
              <a16:creationId xmlns:a16="http://schemas.microsoft.com/office/drawing/2014/main" id="{34456E29-F9DE-4788-8232-C44CC323464A}"/>
            </a:ext>
          </a:extLst>
        </xdr:cNvPr>
        <xdr:cNvSpPr/>
      </xdr:nvSpPr>
      <xdr:spPr>
        <a:xfrm>
          <a:off x="5629274" y="66675"/>
          <a:ext cx="1352551" cy="714375"/>
        </a:xfrm>
        <a:prstGeom prst="roundRect">
          <a:avLst>
            <a:gd name="adj" fmla="val 8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361949</xdr:colOff>
      <xdr:row>0</xdr:row>
      <xdr:rowOff>66675</xdr:rowOff>
    </xdr:from>
    <xdr:to>
      <xdr:col>14</xdr:col>
      <xdr:colOff>247650</xdr:colOff>
      <xdr:row>8</xdr:row>
      <xdr:rowOff>152400</xdr:rowOff>
    </xdr:to>
    <xdr:sp macro="" textlink="">
      <xdr:nvSpPr>
        <xdr:cNvPr id="4" name="Rectangle: Rounded Corners 3">
          <a:extLst>
            <a:ext uri="{FF2B5EF4-FFF2-40B4-BE49-F238E27FC236}">
              <a16:creationId xmlns:a16="http://schemas.microsoft.com/office/drawing/2014/main" id="{B157C98C-FD33-4F34-91C5-00770A149C0C}"/>
            </a:ext>
          </a:extLst>
        </xdr:cNvPr>
        <xdr:cNvSpPr/>
      </xdr:nvSpPr>
      <xdr:spPr>
        <a:xfrm>
          <a:off x="7103992" y="66675"/>
          <a:ext cx="1724441" cy="1609725"/>
        </a:xfrm>
        <a:prstGeom prst="roundRect">
          <a:avLst>
            <a:gd name="adj" fmla="val 573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352424</xdr:colOff>
      <xdr:row>0</xdr:row>
      <xdr:rowOff>66675</xdr:rowOff>
    </xdr:from>
    <xdr:to>
      <xdr:col>17</xdr:col>
      <xdr:colOff>238125</xdr:colOff>
      <xdr:row>8</xdr:row>
      <xdr:rowOff>152400</xdr:rowOff>
    </xdr:to>
    <xdr:sp macro="" textlink="">
      <xdr:nvSpPr>
        <xdr:cNvPr id="5" name="Rectangle: Rounded Corners 4">
          <a:extLst>
            <a:ext uri="{FF2B5EF4-FFF2-40B4-BE49-F238E27FC236}">
              <a16:creationId xmlns:a16="http://schemas.microsoft.com/office/drawing/2014/main" id="{8C86D16B-E791-4713-8E59-C09CE919C9E0}"/>
            </a:ext>
          </a:extLst>
        </xdr:cNvPr>
        <xdr:cNvSpPr/>
      </xdr:nvSpPr>
      <xdr:spPr>
        <a:xfrm>
          <a:off x="8933207" y="66675"/>
          <a:ext cx="1724440" cy="1609725"/>
        </a:xfrm>
        <a:prstGeom prst="roundRect">
          <a:avLst>
            <a:gd name="adj" fmla="val 65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95250</xdr:colOff>
      <xdr:row>4</xdr:row>
      <xdr:rowOff>133350</xdr:rowOff>
    </xdr:from>
    <xdr:to>
      <xdr:col>2</xdr:col>
      <xdr:colOff>333375</xdr:colOff>
      <xdr:row>28</xdr:row>
      <xdr:rowOff>28575</xdr:rowOff>
    </xdr:to>
    <xdr:sp macro="" textlink="">
      <xdr:nvSpPr>
        <xdr:cNvPr id="6" name="Rectangle: Rounded Corners 5">
          <a:extLst>
            <a:ext uri="{FF2B5EF4-FFF2-40B4-BE49-F238E27FC236}">
              <a16:creationId xmlns:a16="http://schemas.microsoft.com/office/drawing/2014/main" id="{0BACE433-2F25-47E2-9C20-B1AA03D33D06}"/>
            </a:ext>
          </a:extLst>
        </xdr:cNvPr>
        <xdr:cNvSpPr/>
      </xdr:nvSpPr>
      <xdr:spPr>
        <a:xfrm>
          <a:off x="95250" y="895350"/>
          <a:ext cx="1463951" cy="4467225"/>
        </a:xfrm>
        <a:prstGeom prst="roundRect">
          <a:avLst>
            <a:gd name="adj" fmla="val 393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408333</xdr:colOff>
      <xdr:row>4</xdr:row>
      <xdr:rowOff>133350</xdr:rowOff>
    </xdr:from>
    <xdr:to>
      <xdr:col>5</xdr:col>
      <xdr:colOff>339587</xdr:colOff>
      <xdr:row>11</xdr:row>
      <xdr:rowOff>123825</xdr:rowOff>
    </xdr:to>
    <xdr:sp macro="" textlink="">
      <xdr:nvSpPr>
        <xdr:cNvPr id="7" name="Rectangle: Rounded Corners 6">
          <a:extLst>
            <a:ext uri="{FF2B5EF4-FFF2-40B4-BE49-F238E27FC236}">
              <a16:creationId xmlns:a16="http://schemas.microsoft.com/office/drawing/2014/main" id="{8F3D58F6-493E-4639-80E1-7EDC150523FD}"/>
            </a:ext>
          </a:extLst>
        </xdr:cNvPr>
        <xdr:cNvSpPr/>
      </xdr:nvSpPr>
      <xdr:spPr>
        <a:xfrm>
          <a:off x="1624602" y="895350"/>
          <a:ext cx="1755658" cy="1323975"/>
        </a:xfrm>
        <a:prstGeom prst="roundRect">
          <a:avLst>
            <a:gd name="adj" fmla="val 483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5</xdr:col>
      <xdr:colOff>407977</xdr:colOff>
      <xdr:row>4</xdr:row>
      <xdr:rowOff>121926</xdr:rowOff>
    </xdr:from>
    <xdr:to>
      <xdr:col>8</xdr:col>
      <xdr:colOff>279897</xdr:colOff>
      <xdr:row>11</xdr:row>
      <xdr:rowOff>112401</xdr:rowOff>
    </xdr:to>
    <xdr:sp macro="" textlink="">
      <xdr:nvSpPr>
        <xdr:cNvPr id="8" name="Rectangle: Rounded Corners 7">
          <a:extLst>
            <a:ext uri="{FF2B5EF4-FFF2-40B4-BE49-F238E27FC236}">
              <a16:creationId xmlns:a16="http://schemas.microsoft.com/office/drawing/2014/main" id="{416D53AE-922E-474E-BB30-144DA2ACD373}"/>
            </a:ext>
          </a:extLst>
        </xdr:cNvPr>
        <xdr:cNvSpPr/>
      </xdr:nvSpPr>
      <xdr:spPr>
        <a:xfrm>
          <a:off x="3462546" y="883926"/>
          <a:ext cx="1704661" cy="1323975"/>
        </a:xfrm>
        <a:prstGeom prst="roundRect">
          <a:avLst>
            <a:gd name="adj" fmla="val 420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8</xdr:col>
      <xdr:colOff>347869</xdr:colOff>
      <xdr:row>4</xdr:row>
      <xdr:rowOff>133350</xdr:rowOff>
    </xdr:from>
    <xdr:to>
      <xdr:col>11</xdr:col>
      <xdr:colOff>278422</xdr:colOff>
      <xdr:row>11</xdr:row>
      <xdr:rowOff>123825</xdr:rowOff>
    </xdr:to>
    <xdr:sp macro="" textlink="">
      <xdr:nvSpPr>
        <xdr:cNvPr id="9" name="Rectangle: Rounded Corners 8">
          <a:extLst>
            <a:ext uri="{FF2B5EF4-FFF2-40B4-BE49-F238E27FC236}">
              <a16:creationId xmlns:a16="http://schemas.microsoft.com/office/drawing/2014/main" id="{2F52B3FB-D4D6-422A-8C13-D84114D141DD}"/>
            </a:ext>
          </a:extLst>
        </xdr:cNvPr>
        <xdr:cNvSpPr/>
      </xdr:nvSpPr>
      <xdr:spPr>
        <a:xfrm>
          <a:off x="5212946" y="895350"/>
          <a:ext cx="1754957" cy="1323975"/>
        </a:xfrm>
        <a:prstGeom prst="roundRect">
          <a:avLst>
            <a:gd name="adj" fmla="val 483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424898</xdr:colOff>
      <xdr:row>17</xdr:row>
      <xdr:rowOff>91109</xdr:rowOff>
    </xdr:from>
    <xdr:to>
      <xdr:col>11</xdr:col>
      <xdr:colOff>310598</xdr:colOff>
      <xdr:row>28</xdr:row>
      <xdr:rowOff>38101</xdr:rowOff>
    </xdr:to>
    <xdr:sp macro="" textlink="">
      <xdr:nvSpPr>
        <xdr:cNvPr id="12" name="Rectangle: Rounded Corners 11">
          <a:extLst>
            <a:ext uri="{FF2B5EF4-FFF2-40B4-BE49-F238E27FC236}">
              <a16:creationId xmlns:a16="http://schemas.microsoft.com/office/drawing/2014/main" id="{E1C5FE15-06BB-408A-B3AE-1C5C88187979}"/>
            </a:ext>
          </a:extLst>
        </xdr:cNvPr>
        <xdr:cNvSpPr/>
      </xdr:nvSpPr>
      <xdr:spPr>
        <a:xfrm>
          <a:off x="1650724" y="3329609"/>
          <a:ext cx="5401917" cy="2042492"/>
        </a:xfrm>
        <a:prstGeom prst="roundRect">
          <a:avLst>
            <a:gd name="adj" fmla="val 240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408332</xdr:colOff>
      <xdr:row>12</xdr:row>
      <xdr:rowOff>24847</xdr:rowOff>
    </xdr:from>
    <xdr:to>
      <xdr:col>11</xdr:col>
      <xdr:colOff>294032</xdr:colOff>
      <xdr:row>17</xdr:row>
      <xdr:rowOff>0</xdr:rowOff>
    </xdr:to>
    <xdr:sp macro="" textlink="">
      <xdr:nvSpPr>
        <xdr:cNvPr id="16" name="Rectangle: Rounded Corners 15">
          <a:extLst>
            <a:ext uri="{FF2B5EF4-FFF2-40B4-BE49-F238E27FC236}">
              <a16:creationId xmlns:a16="http://schemas.microsoft.com/office/drawing/2014/main" id="{3987EA7F-40B9-4B59-B604-CDCB6F16BEC6}"/>
            </a:ext>
          </a:extLst>
        </xdr:cNvPr>
        <xdr:cNvSpPr/>
      </xdr:nvSpPr>
      <xdr:spPr>
        <a:xfrm>
          <a:off x="1634158" y="2310847"/>
          <a:ext cx="5401917" cy="927653"/>
        </a:xfrm>
        <a:prstGeom prst="roundRect">
          <a:avLst>
            <a:gd name="adj" fmla="val 483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11</xdr:col>
      <xdr:colOff>375203</xdr:colOff>
      <xdr:row>9</xdr:row>
      <xdr:rowOff>24848</xdr:rowOff>
    </xdr:from>
    <xdr:to>
      <xdr:col>17</xdr:col>
      <xdr:colOff>240195</xdr:colOff>
      <xdr:row>28</xdr:row>
      <xdr:rowOff>38102</xdr:rowOff>
    </xdr:to>
    <xdr:sp macro="" textlink="">
      <xdr:nvSpPr>
        <xdr:cNvPr id="17" name="Rectangle: Rounded Corners 16">
          <a:extLst>
            <a:ext uri="{FF2B5EF4-FFF2-40B4-BE49-F238E27FC236}">
              <a16:creationId xmlns:a16="http://schemas.microsoft.com/office/drawing/2014/main" id="{FF3A6538-5986-46F1-B995-36F61F8EAF2D}"/>
            </a:ext>
          </a:extLst>
        </xdr:cNvPr>
        <xdr:cNvSpPr/>
      </xdr:nvSpPr>
      <xdr:spPr>
        <a:xfrm>
          <a:off x="7117246" y="1739348"/>
          <a:ext cx="3542471" cy="3632754"/>
        </a:xfrm>
        <a:prstGeom prst="roundRect">
          <a:avLst>
            <a:gd name="adj" fmla="val 319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447261</xdr:colOff>
      <xdr:row>0</xdr:row>
      <xdr:rowOff>91108</xdr:rowOff>
    </xdr:from>
    <xdr:to>
      <xdr:col>8</xdr:col>
      <xdr:colOff>132522</xdr:colOff>
      <xdr:row>1</xdr:row>
      <xdr:rowOff>182217</xdr:rowOff>
    </xdr:to>
    <xdr:sp macro="" textlink="">
      <xdr:nvSpPr>
        <xdr:cNvPr id="10" name="TextBox 9">
          <a:extLst>
            <a:ext uri="{FF2B5EF4-FFF2-40B4-BE49-F238E27FC236}">
              <a16:creationId xmlns:a16="http://schemas.microsoft.com/office/drawing/2014/main" id="{8AD468CA-A25D-473E-8D54-886CA511E793}"/>
            </a:ext>
          </a:extLst>
        </xdr:cNvPr>
        <xdr:cNvSpPr txBox="1"/>
      </xdr:nvSpPr>
      <xdr:spPr>
        <a:xfrm>
          <a:off x="1060174" y="91108"/>
          <a:ext cx="3975652" cy="28160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a:latin typeface="Aptos Narrow" panose="020B0004020202020204" pitchFamily="34" charset="0"/>
            </a:rPr>
            <a:t>Hospital</a:t>
          </a:r>
          <a:r>
            <a:rPr lang="en-IN" sz="1800" baseline="0">
              <a:latin typeface="Aptos Narrow" panose="020B0004020202020204" pitchFamily="34" charset="0"/>
            </a:rPr>
            <a:t> Emergency Room </a:t>
          </a:r>
          <a:r>
            <a:rPr lang="en-IN" sz="1800" baseline="0">
              <a:solidFill>
                <a:schemeClr val="dk1"/>
              </a:solidFill>
              <a:latin typeface="Aptos Narrow" panose="020B0004020202020204" pitchFamily="34" charset="0"/>
            </a:rPr>
            <a:t>Dashboard</a:t>
          </a:r>
          <a:endParaRPr lang="en-IN" sz="1800">
            <a:solidFill>
              <a:schemeClr val="dk1"/>
            </a:solidFill>
            <a:latin typeface="Aptos Narrow" panose="020B0004020202020204" pitchFamily="34" charset="0"/>
          </a:endParaRPr>
        </a:p>
      </xdr:txBody>
    </xdr:sp>
    <xdr:clientData/>
  </xdr:twoCellAnchor>
  <xdr:twoCellAnchor editAs="oneCell">
    <xdr:from>
      <xdr:col>0</xdr:col>
      <xdr:colOff>231913</xdr:colOff>
      <xdr:row>0</xdr:row>
      <xdr:rowOff>66261</xdr:rowOff>
    </xdr:from>
    <xdr:to>
      <xdr:col>1</xdr:col>
      <xdr:colOff>347870</xdr:colOff>
      <xdr:row>4</xdr:row>
      <xdr:rowOff>33131</xdr:rowOff>
    </xdr:to>
    <xdr:pic>
      <xdr:nvPicPr>
        <xdr:cNvPr id="13" name="Picture 12">
          <a:extLst>
            <a:ext uri="{FF2B5EF4-FFF2-40B4-BE49-F238E27FC236}">
              <a16:creationId xmlns:a16="http://schemas.microsoft.com/office/drawing/2014/main" id="{DA3DCD43-A269-44B8-8770-95668DC94C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913" y="66261"/>
          <a:ext cx="728870" cy="728870"/>
        </a:xfrm>
        <a:prstGeom prst="rect">
          <a:avLst/>
        </a:prstGeom>
      </xdr:spPr>
    </xdr:pic>
    <xdr:clientData/>
  </xdr:twoCellAnchor>
  <xdr:twoCellAnchor editAs="absolute">
    <xdr:from>
      <xdr:col>1</xdr:col>
      <xdr:colOff>467139</xdr:colOff>
      <xdr:row>2</xdr:row>
      <xdr:rowOff>19878</xdr:rowOff>
    </xdr:from>
    <xdr:to>
      <xdr:col>8</xdr:col>
      <xdr:colOff>152400</xdr:colOff>
      <xdr:row>3</xdr:row>
      <xdr:rowOff>110987</xdr:rowOff>
    </xdr:to>
    <xdr:sp macro="" textlink="">
      <xdr:nvSpPr>
        <xdr:cNvPr id="18" name="TextBox 17">
          <a:extLst>
            <a:ext uri="{FF2B5EF4-FFF2-40B4-BE49-F238E27FC236}">
              <a16:creationId xmlns:a16="http://schemas.microsoft.com/office/drawing/2014/main" id="{D62A526C-24EC-49FC-8406-85887AFBE22F}"/>
            </a:ext>
          </a:extLst>
        </xdr:cNvPr>
        <xdr:cNvSpPr txBox="1"/>
      </xdr:nvSpPr>
      <xdr:spPr>
        <a:xfrm>
          <a:off x="1080052" y="400878"/>
          <a:ext cx="3975652" cy="28160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latin typeface="Aptos Narrow" panose="020B0004020202020204" pitchFamily="34" charset="0"/>
            </a:rPr>
            <a:t>Monthly Repor</a:t>
          </a:r>
          <a:r>
            <a:rPr lang="en-IN" sz="1400" baseline="0">
              <a:latin typeface="Aptos Narrow" panose="020B0004020202020204" pitchFamily="34" charset="0"/>
            </a:rPr>
            <a:t>t</a:t>
          </a:r>
          <a:endParaRPr lang="en-IN" sz="1400">
            <a:solidFill>
              <a:schemeClr val="dk1"/>
            </a:solidFill>
            <a:latin typeface="Aptos Narrow" panose="020B0004020202020204" pitchFamily="34" charset="0"/>
          </a:endParaRPr>
        </a:p>
      </xdr:txBody>
    </xdr:sp>
    <xdr:clientData/>
  </xdr:twoCellAnchor>
  <xdr:twoCellAnchor editAs="absolute">
    <xdr:from>
      <xdr:col>3</xdr:col>
      <xdr:colOff>82740</xdr:colOff>
      <xdr:row>6</xdr:row>
      <xdr:rowOff>118222</xdr:rowOff>
    </xdr:from>
    <xdr:to>
      <xdr:col>5</xdr:col>
      <xdr:colOff>107588</xdr:colOff>
      <xdr:row>7</xdr:row>
      <xdr:rowOff>136444</xdr:rowOff>
    </xdr:to>
    <xdr:sp macro="" textlink="">
      <xdr:nvSpPr>
        <xdr:cNvPr id="19" name="TextBox 18">
          <a:extLst>
            <a:ext uri="{FF2B5EF4-FFF2-40B4-BE49-F238E27FC236}">
              <a16:creationId xmlns:a16="http://schemas.microsoft.com/office/drawing/2014/main" id="{6E79EE8D-D26B-42A0-B4B8-D69F9248FBC5}"/>
            </a:ext>
          </a:extLst>
        </xdr:cNvPr>
        <xdr:cNvSpPr txBox="1"/>
      </xdr:nvSpPr>
      <xdr:spPr>
        <a:xfrm>
          <a:off x="1915481" y="1261222"/>
          <a:ext cx="1246676" cy="20872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latin typeface="Aptos Narrow" panose="020B0004020202020204" pitchFamily="34" charset="0"/>
            </a:rPr>
            <a:t>No. of </a:t>
          </a:r>
          <a:r>
            <a:rPr lang="en-IN" sz="1200">
              <a:latin typeface="Aptos Narrow" panose="020B0004020202020204" pitchFamily="34" charset="0"/>
            </a:rPr>
            <a:t>Patients</a:t>
          </a:r>
          <a:endParaRPr lang="en-IN" sz="1100">
            <a:solidFill>
              <a:schemeClr val="dk1"/>
            </a:solidFill>
            <a:latin typeface="Aptos Narrow" panose="020B0004020202020204" pitchFamily="34" charset="0"/>
          </a:endParaRPr>
        </a:p>
      </xdr:txBody>
    </xdr:sp>
    <xdr:clientData/>
  </xdr:twoCellAnchor>
  <xdr:twoCellAnchor editAs="absolute">
    <xdr:from>
      <xdr:col>3</xdr:col>
      <xdr:colOff>94362</xdr:colOff>
      <xdr:row>5</xdr:row>
      <xdr:rowOff>80874</xdr:rowOff>
    </xdr:from>
    <xdr:to>
      <xdr:col>5</xdr:col>
      <xdr:colOff>121988</xdr:colOff>
      <xdr:row>6</xdr:row>
      <xdr:rowOff>99096</xdr:rowOff>
    </xdr:to>
    <xdr:sp macro="" textlink="'Pivot Report'!B7">
      <xdr:nvSpPr>
        <xdr:cNvPr id="20" name="TextBox 19">
          <a:extLst>
            <a:ext uri="{FF2B5EF4-FFF2-40B4-BE49-F238E27FC236}">
              <a16:creationId xmlns:a16="http://schemas.microsoft.com/office/drawing/2014/main" id="{2630EBBE-5F8D-470A-B78D-D4B977BC03FD}"/>
            </a:ext>
          </a:extLst>
        </xdr:cNvPr>
        <xdr:cNvSpPr txBox="1"/>
      </xdr:nvSpPr>
      <xdr:spPr>
        <a:xfrm>
          <a:off x="1927103" y="1033374"/>
          <a:ext cx="1249454" cy="20872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9BFA034-3F82-4543-A544-08C5D1D42613}" type="TxLink">
            <a:rPr lang="en-US" sz="1400" b="0" i="0" u="none" strike="noStrike">
              <a:solidFill>
                <a:srgbClr val="000000"/>
              </a:solidFill>
              <a:latin typeface="Calibri"/>
              <a:ea typeface="Calibri"/>
              <a:cs typeface="Calibri"/>
            </a:rPr>
            <a:pPr algn="ctr"/>
            <a:t>469</a:t>
          </a:fld>
          <a:endParaRPr lang="en-IN" sz="1800">
            <a:solidFill>
              <a:schemeClr val="dk1"/>
            </a:solidFill>
            <a:latin typeface="Aptos Narrow" panose="020B0004020202020204" pitchFamily="34" charset="0"/>
          </a:endParaRPr>
        </a:p>
      </xdr:txBody>
    </xdr:sp>
    <xdr:clientData/>
  </xdr:twoCellAnchor>
  <xdr:twoCellAnchor editAs="absolute">
    <xdr:from>
      <xdr:col>6</xdr:col>
      <xdr:colOff>1</xdr:colOff>
      <xdr:row>6</xdr:row>
      <xdr:rowOff>108873</xdr:rowOff>
    </xdr:from>
    <xdr:to>
      <xdr:col>8</xdr:col>
      <xdr:colOff>24849</xdr:colOff>
      <xdr:row>7</xdr:row>
      <xdr:rowOff>127095</xdr:rowOff>
    </xdr:to>
    <xdr:sp macro="" textlink="">
      <xdr:nvSpPr>
        <xdr:cNvPr id="21" name="TextBox 20">
          <a:extLst>
            <a:ext uri="{FF2B5EF4-FFF2-40B4-BE49-F238E27FC236}">
              <a16:creationId xmlns:a16="http://schemas.microsoft.com/office/drawing/2014/main" id="{77E0CF2E-CB45-4D79-9D30-6DB12F1BF2B9}"/>
            </a:ext>
          </a:extLst>
        </xdr:cNvPr>
        <xdr:cNvSpPr txBox="1"/>
      </xdr:nvSpPr>
      <xdr:spPr>
        <a:xfrm>
          <a:off x="3665484" y="1251873"/>
          <a:ext cx="1246675" cy="20872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latin typeface="Aptos Narrow" panose="020B0004020202020204" pitchFamily="34" charset="0"/>
            </a:rPr>
            <a:t>Average </a:t>
          </a:r>
          <a:r>
            <a:rPr lang="en-IN" sz="1200">
              <a:solidFill>
                <a:schemeClr val="dk1"/>
              </a:solidFill>
              <a:latin typeface="Aptos Narrow" panose="020B0004020202020204" pitchFamily="34" charset="0"/>
              <a:ea typeface="+mn-ea"/>
              <a:cs typeface="+mn-cs"/>
            </a:rPr>
            <a:t>Wait</a:t>
          </a:r>
          <a:r>
            <a:rPr lang="en-IN" sz="1100">
              <a:latin typeface="Aptos Narrow" panose="020B0004020202020204" pitchFamily="34" charset="0"/>
            </a:rPr>
            <a:t> Time</a:t>
          </a:r>
          <a:endParaRPr lang="en-IN" sz="1100">
            <a:solidFill>
              <a:schemeClr val="dk1"/>
            </a:solidFill>
            <a:latin typeface="Aptos Narrow" panose="020B0004020202020204" pitchFamily="34" charset="0"/>
          </a:endParaRPr>
        </a:p>
      </xdr:txBody>
    </xdr:sp>
    <xdr:clientData/>
  </xdr:twoCellAnchor>
  <xdr:twoCellAnchor editAs="absolute">
    <xdr:from>
      <xdr:col>6</xdr:col>
      <xdr:colOff>1</xdr:colOff>
      <xdr:row>5</xdr:row>
      <xdr:rowOff>85168</xdr:rowOff>
    </xdr:from>
    <xdr:to>
      <xdr:col>8</xdr:col>
      <xdr:colOff>24849</xdr:colOff>
      <xdr:row>6</xdr:row>
      <xdr:rowOff>103390</xdr:rowOff>
    </xdr:to>
    <xdr:sp macro="" textlink="'Pivot Report'!B12">
      <xdr:nvSpPr>
        <xdr:cNvPr id="22" name="TextBox 21">
          <a:extLst>
            <a:ext uri="{FF2B5EF4-FFF2-40B4-BE49-F238E27FC236}">
              <a16:creationId xmlns:a16="http://schemas.microsoft.com/office/drawing/2014/main" id="{13637F25-98D1-42D5-80AE-8325EC2466B0}"/>
            </a:ext>
          </a:extLst>
        </xdr:cNvPr>
        <xdr:cNvSpPr txBox="1"/>
      </xdr:nvSpPr>
      <xdr:spPr>
        <a:xfrm>
          <a:off x="3665484" y="1037668"/>
          <a:ext cx="1246675" cy="20872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E35151AA-0C90-4702-AFEE-A454CF80F704}" type="TxLink">
            <a:rPr lang="en-US" sz="1400" b="0" i="0" u="none" strike="noStrike">
              <a:solidFill>
                <a:srgbClr val="000000"/>
              </a:solidFill>
              <a:latin typeface="Calibri"/>
              <a:ea typeface="Calibri"/>
              <a:cs typeface="Calibri"/>
            </a:rPr>
            <a:pPr marL="0" indent="0" algn="ctr"/>
            <a:t>35.04</a:t>
          </a:fld>
          <a:endParaRPr lang="en-IN" sz="1400" b="0" i="0" u="none" strike="noStrike">
            <a:solidFill>
              <a:srgbClr val="000000"/>
            </a:solidFill>
            <a:latin typeface="Calibri"/>
            <a:ea typeface="Calibri"/>
            <a:cs typeface="Calibri"/>
          </a:endParaRPr>
        </a:p>
      </xdr:txBody>
    </xdr:sp>
    <xdr:clientData/>
  </xdr:twoCellAnchor>
  <xdr:twoCellAnchor editAs="absolute">
    <xdr:from>
      <xdr:col>9</xdr:col>
      <xdr:colOff>65975</xdr:colOff>
      <xdr:row>6</xdr:row>
      <xdr:rowOff>128580</xdr:rowOff>
    </xdr:from>
    <xdr:to>
      <xdr:col>11</xdr:col>
      <xdr:colOff>16279</xdr:colOff>
      <xdr:row>7</xdr:row>
      <xdr:rowOff>146802</xdr:rowOff>
    </xdr:to>
    <xdr:sp macro="" textlink="">
      <xdr:nvSpPr>
        <xdr:cNvPr id="23" name="TextBox 22">
          <a:extLst>
            <a:ext uri="{FF2B5EF4-FFF2-40B4-BE49-F238E27FC236}">
              <a16:creationId xmlns:a16="http://schemas.microsoft.com/office/drawing/2014/main" id="{089C8526-8BEA-423A-839C-7B0D93BD45A2}"/>
            </a:ext>
          </a:extLst>
        </xdr:cNvPr>
        <xdr:cNvSpPr txBox="1"/>
      </xdr:nvSpPr>
      <xdr:spPr>
        <a:xfrm>
          <a:off x="5564199" y="1271580"/>
          <a:ext cx="1172132" cy="20872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solidFill>
                <a:schemeClr val="dk1"/>
              </a:solidFill>
              <a:latin typeface="Aptos Narrow" panose="020B0004020202020204" pitchFamily="34" charset="0"/>
              <a:ea typeface="+mn-ea"/>
              <a:cs typeface="+mn-cs"/>
            </a:rPr>
            <a:t>Satisfaction</a:t>
          </a:r>
          <a:r>
            <a:rPr lang="en-IN" sz="1100" baseline="0">
              <a:solidFill>
                <a:schemeClr val="dk1"/>
              </a:solidFill>
              <a:latin typeface="Aptos Narrow" panose="020B0004020202020204" pitchFamily="34" charset="0"/>
            </a:rPr>
            <a:t> Score</a:t>
          </a:r>
          <a:endParaRPr lang="en-IN" sz="1100">
            <a:solidFill>
              <a:schemeClr val="dk1"/>
            </a:solidFill>
            <a:latin typeface="Aptos Narrow" panose="020B0004020202020204" pitchFamily="34" charset="0"/>
          </a:endParaRPr>
        </a:p>
      </xdr:txBody>
    </xdr:sp>
    <xdr:clientData/>
  </xdr:twoCellAnchor>
  <xdr:twoCellAnchor editAs="absolute">
    <xdr:from>
      <xdr:col>8</xdr:col>
      <xdr:colOff>598062</xdr:colOff>
      <xdr:row>5</xdr:row>
      <xdr:rowOff>91738</xdr:rowOff>
    </xdr:from>
    <xdr:to>
      <xdr:col>11</xdr:col>
      <xdr:colOff>9997</xdr:colOff>
      <xdr:row>6</xdr:row>
      <xdr:rowOff>109960</xdr:rowOff>
    </xdr:to>
    <xdr:sp macro="" textlink="'Pivot Report'!B17">
      <xdr:nvSpPr>
        <xdr:cNvPr id="24" name="TextBox 23">
          <a:extLst>
            <a:ext uri="{FF2B5EF4-FFF2-40B4-BE49-F238E27FC236}">
              <a16:creationId xmlns:a16="http://schemas.microsoft.com/office/drawing/2014/main" id="{43D6A6D8-88E2-4F66-B9F7-569625316374}"/>
            </a:ext>
          </a:extLst>
        </xdr:cNvPr>
        <xdr:cNvSpPr txBox="1"/>
      </xdr:nvSpPr>
      <xdr:spPr>
        <a:xfrm>
          <a:off x="5485372" y="1044238"/>
          <a:ext cx="1244677" cy="20872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F2665239-ECA5-4427-A5A3-24DADF98BA71}" type="TxLink">
            <a:rPr lang="en-US" sz="1400" b="0" i="0" u="none" strike="noStrike">
              <a:solidFill>
                <a:srgbClr val="000000"/>
              </a:solidFill>
              <a:latin typeface="Calibri"/>
              <a:ea typeface="Calibri"/>
              <a:cs typeface="Calibri"/>
            </a:rPr>
            <a:pPr marL="0" indent="0" algn="ctr"/>
            <a:t>4.63</a:t>
          </a:fld>
          <a:endParaRPr lang="en-IN" sz="1400" b="0" i="0" u="none" strike="noStrike">
            <a:solidFill>
              <a:srgbClr val="000000"/>
            </a:solidFill>
            <a:latin typeface="Calibri"/>
            <a:ea typeface="Calibri"/>
            <a:cs typeface="Calibri"/>
          </a:endParaRPr>
        </a:p>
      </xdr:txBody>
    </xdr:sp>
    <xdr:clientData/>
  </xdr:twoCellAnchor>
  <xdr:twoCellAnchor editAs="oneCell">
    <xdr:from>
      <xdr:col>8</xdr:col>
      <xdr:colOff>8283</xdr:colOff>
      <xdr:row>4</xdr:row>
      <xdr:rowOff>169793</xdr:rowOff>
    </xdr:from>
    <xdr:to>
      <xdr:col>8</xdr:col>
      <xdr:colOff>265044</xdr:colOff>
      <xdr:row>6</xdr:row>
      <xdr:rowOff>45554</xdr:rowOff>
    </xdr:to>
    <xdr:pic>
      <xdr:nvPicPr>
        <xdr:cNvPr id="14" name="Picture 13">
          <a:extLst>
            <a:ext uri="{FF2B5EF4-FFF2-40B4-BE49-F238E27FC236}">
              <a16:creationId xmlns:a16="http://schemas.microsoft.com/office/drawing/2014/main" id="{A338010B-515E-4FA0-A948-E47AFD01E1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11587" y="931793"/>
          <a:ext cx="256761" cy="256761"/>
        </a:xfrm>
        <a:prstGeom prst="rect">
          <a:avLst/>
        </a:prstGeom>
      </xdr:spPr>
    </xdr:pic>
    <xdr:clientData/>
  </xdr:twoCellAnchor>
  <xdr:twoCellAnchor editAs="oneCell">
    <xdr:from>
      <xdr:col>10</xdr:col>
      <xdr:colOff>608193</xdr:colOff>
      <xdr:row>4</xdr:row>
      <xdr:rowOff>169793</xdr:rowOff>
    </xdr:from>
    <xdr:to>
      <xdr:col>11</xdr:col>
      <xdr:colOff>252040</xdr:colOff>
      <xdr:row>6</xdr:row>
      <xdr:rowOff>45553</xdr:rowOff>
    </xdr:to>
    <xdr:pic>
      <xdr:nvPicPr>
        <xdr:cNvPr id="29" name="Picture 28">
          <a:extLst>
            <a:ext uri="{FF2B5EF4-FFF2-40B4-BE49-F238E27FC236}">
              <a16:creationId xmlns:a16="http://schemas.microsoft.com/office/drawing/2014/main" id="{81B4FA0F-4B27-491E-B9B8-D5E4AE3FAA1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37323" y="931793"/>
          <a:ext cx="256760" cy="256760"/>
        </a:xfrm>
        <a:prstGeom prst="rect">
          <a:avLst/>
        </a:prstGeom>
      </xdr:spPr>
    </xdr:pic>
    <xdr:clientData/>
  </xdr:twoCellAnchor>
  <xdr:twoCellAnchor editAs="oneCell">
    <xdr:from>
      <xdr:col>5</xdr:col>
      <xdr:colOff>49697</xdr:colOff>
      <xdr:row>4</xdr:row>
      <xdr:rowOff>170373</xdr:rowOff>
    </xdr:from>
    <xdr:to>
      <xdr:col>5</xdr:col>
      <xdr:colOff>305297</xdr:colOff>
      <xdr:row>6</xdr:row>
      <xdr:rowOff>44973</xdr:rowOff>
    </xdr:to>
    <xdr:pic>
      <xdr:nvPicPr>
        <xdr:cNvPr id="31" name="Picture 30">
          <a:extLst>
            <a:ext uri="{FF2B5EF4-FFF2-40B4-BE49-F238E27FC236}">
              <a16:creationId xmlns:a16="http://schemas.microsoft.com/office/drawing/2014/main" id="{4B23FF7E-3A58-405C-B365-798F5907E06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3114262" y="932373"/>
          <a:ext cx="255600" cy="255600"/>
        </a:xfrm>
        <a:prstGeom prst="rect">
          <a:avLst/>
        </a:prstGeom>
      </xdr:spPr>
    </xdr:pic>
    <xdr:clientData/>
  </xdr:twoCellAnchor>
  <xdr:twoCellAnchor editAs="absolute">
    <xdr:from>
      <xdr:col>0</xdr:col>
      <xdr:colOff>273328</xdr:colOff>
      <xdr:row>4</xdr:row>
      <xdr:rowOff>182218</xdr:rowOff>
    </xdr:from>
    <xdr:to>
      <xdr:col>2</xdr:col>
      <xdr:colOff>140804</xdr:colOff>
      <xdr:row>28</xdr:row>
      <xdr:rowOff>5733</xdr:rowOff>
    </xdr:to>
    <mc:AlternateContent xmlns:mc="http://schemas.openxmlformats.org/markup-compatibility/2006" xmlns:a14="http://schemas.microsoft.com/office/drawing/2010/main">
      <mc:Choice Requires="a14">
        <xdr:graphicFrame macro="">
          <xdr:nvGraphicFramePr>
            <xdr:cNvPr id="33" name="Date (Month) 2">
              <a:extLst>
                <a:ext uri="{FF2B5EF4-FFF2-40B4-BE49-F238E27FC236}">
                  <a16:creationId xmlns:a16="http://schemas.microsoft.com/office/drawing/2014/main" id="{A9260828-96B8-42D2-9E7E-0087DB3F9527}"/>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273328" y="944218"/>
              <a:ext cx="1093302" cy="4395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426983</xdr:colOff>
      <xdr:row>7</xdr:row>
      <xdr:rowOff>137948</xdr:rowOff>
    </xdr:from>
    <xdr:to>
      <xdr:col>5</xdr:col>
      <xdr:colOff>321879</xdr:colOff>
      <xdr:row>11</xdr:row>
      <xdr:rowOff>123042</xdr:rowOff>
    </xdr:to>
    <xdr:graphicFrame macro="">
      <xdr:nvGraphicFramePr>
        <xdr:cNvPr id="35" name="Chart 34">
          <a:hlinkClick xmlns:r="http://schemas.openxmlformats.org/officeDocument/2006/relationships" r:id="rId5"/>
          <a:extLst>
            <a:ext uri="{FF2B5EF4-FFF2-40B4-BE49-F238E27FC236}">
              <a16:creationId xmlns:a16="http://schemas.microsoft.com/office/drawing/2014/main" id="{78CEE421-2FE4-4087-82D8-7282839AE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433552</xdr:colOff>
      <xdr:row>9</xdr:row>
      <xdr:rowOff>13138</xdr:rowOff>
    </xdr:from>
    <xdr:to>
      <xdr:col>8</xdr:col>
      <xdr:colOff>249620</xdr:colOff>
      <xdr:row>11</xdr:row>
      <xdr:rowOff>105104</xdr:rowOff>
    </xdr:to>
    <xdr:graphicFrame macro="">
      <xdr:nvGraphicFramePr>
        <xdr:cNvPr id="27" name="Chart 26">
          <a:hlinkClick xmlns:r="http://schemas.openxmlformats.org/officeDocument/2006/relationships" r:id="rId7"/>
          <a:extLst>
            <a:ext uri="{FF2B5EF4-FFF2-40B4-BE49-F238E27FC236}">
              <a16:creationId xmlns:a16="http://schemas.microsoft.com/office/drawing/2014/main" id="{EF5D75F7-E434-46D4-BAAC-FF0F9336F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389283</xdr:colOff>
      <xdr:row>7</xdr:row>
      <xdr:rowOff>4855</xdr:rowOff>
    </xdr:from>
    <xdr:to>
      <xdr:col>11</xdr:col>
      <xdr:colOff>257903</xdr:colOff>
      <xdr:row>11</xdr:row>
      <xdr:rowOff>116527</xdr:rowOff>
    </xdr:to>
    <xdr:graphicFrame macro="">
      <xdr:nvGraphicFramePr>
        <xdr:cNvPr id="28" name="Chart 27">
          <a:hlinkClick xmlns:r="http://schemas.openxmlformats.org/officeDocument/2006/relationships" r:id="rId9"/>
          <a:extLst>
            <a:ext uri="{FF2B5EF4-FFF2-40B4-BE49-F238E27FC236}">
              <a16:creationId xmlns:a16="http://schemas.microsoft.com/office/drawing/2014/main" id="{36F6660C-94C7-41A2-A048-BDF884D0E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420411</xdr:colOff>
          <xdr:row>12</xdr:row>
          <xdr:rowOff>45982</xdr:rowOff>
        </xdr:from>
        <xdr:to>
          <xdr:col>11</xdr:col>
          <xdr:colOff>269327</xdr:colOff>
          <xdr:row>16</xdr:row>
          <xdr:rowOff>157655</xdr:rowOff>
        </xdr:to>
        <xdr:pic>
          <xdr:nvPicPr>
            <xdr:cNvPr id="36" name="Picture 35">
              <a:extLst>
                <a:ext uri="{FF2B5EF4-FFF2-40B4-BE49-F238E27FC236}">
                  <a16:creationId xmlns:a16="http://schemas.microsoft.com/office/drawing/2014/main" id="{93FB9C9F-CD33-4B3C-B4C7-54FA7BBF16FC}"/>
                </a:ext>
              </a:extLst>
            </xdr:cNvPr>
            <xdr:cNvPicPr>
              <a:picLocks noChangeAspect="1" noChangeArrowheads="1"/>
              <a:extLst>
                <a:ext uri="{84589F7E-364E-4C9E-8A38-B11213B215E9}">
                  <a14:cameraTool cellRange="'Pivot Report'!$R$6:$U$8" spid="_x0000_s1043"/>
                </a:ext>
              </a:extLst>
            </xdr:cNvPicPr>
          </xdr:nvPicPr>
          <xdr:blipFill>
            <a:blip xmlns:r="http://schemas.openxmlformats.org/officeDocument/2006/relationships" r:embed="rId11">
              <a:alphaModFix/>
            </a:blip>
            <a:srcRect/>
            <a:stretch>
              <a:fillRect/>
            </a:stretch>
          </xdr:blipFill>
          <xdr:spPr bwMode="auto">
            <a:xfrm>
              <a:off x="1642239" y="2331982"/>
              <a:ext cx="5347140" cy="873673"/>
            </a:xfrm>
            <a:prstGeom prst="rect">
              <a:avLst/>
            </a:prstGeom>
            <a:solidFill>
              <a:schemeClr val="tx1">
                <a:lumMod val="75000"/>
                <a:lumOff val="25000"/>
              </a:schemeClr>
            </a:solidFill>
            <a:ln>
              <a:noFill/>
            </a:ln>
            <a:effectLst/>
          </xdr:spPr>
        </xdr:pic>
        <xdr:clientData/>
      </xdr:twoCellAnchor>
    </mc:Choice>
    <mc:Fallback/>
  </mc:AlternateContent>
  <xdr:twoCellAnchor>
    <xdr:from>
      <xdr:col>2</xdr:col>
      <xdr:colOff>472965</xdr:colOff>
      <xdr:row>17</xdr:row>
      <xdr:rowOff>144517</xdr:rowOff>
    </xdr:from>
    <xdr:to>
      <xdr:col>11</xdr:col>
      <xdr:colOff>282465</xdr:colOff>
      <xdr:row>27</xdr:row>
      <xdr:rowOff>161596</xdr:rowOff>
    </xdr:to>
    <xdr:graphicFrame macro="">
      <xdr:nvGraphicFramePr>
        <xdr:cNvPr id="38" name="Chart 37">
          <a:extLst>
            <a:ext uri="{FF2B5EF4-FFF2-40B4-BE49-F238E27FC236}">
              <a16:creationId xmlns:a16="http://schemas.microsoft.com/office/drawing/2014/main" id="{7D3A7229-0369-4850-8362-32F178BE9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5</xdr:col>
      <xdr:colOff>248477</xdr:colOff>
      <xdr:row>27</xdr:row>
      <xdr:rowOff>24847</xdr:rowOff>
    </xdr:from>
    <xdr:to>
      <xdr:col>8</xdr:col>
      <xdr:colOff>57977</xdr:colOff>
      <xdr:row>28</xdr:row>
      <xdr:rowOff>43069</xdr:rowOff>
    </xdr:to>
    <xdr:sp macro="" textlink="">
      <xdr:nvSpPr>
        <xdr:cNvPr id="39" name="TextBox 38">
          <a:extLst>
            <a:ext uri="{FF2B5EF4-FFF2-40B4-BE49-F238E27FC236}">
              <a16:creationId xmlns:a16="http://schemas.microsoft.com/office/drawing/2014/main" id="{26786CBB-F669-4890-95B9-60569211A2EC}"/>
            </a:ext>
          </a:extLst>
        </xdr:cNvPr>
        <xdr:cNvSpPr txBox="1"/>
      </xdr:nvSpPr>
      <xdr:spPr>
        <a:xfrm>
          <a:off x="3313042" y="5168347"/>
          <a:ext cx="1648239" cy="20872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latin typeface="Aptos Narrow" panose="020B0004020202020204" pitchFamily="34" charset="0"/>
            </a:rPr>
            <a:t>No. of </a:t>
          </a:r>
          <a:r>
            <a:rPr lang="en-IN" sz="1200">
              <a:latin typeface="Aptos Narrow" panose="020B0004020202020204" pitchFamily="34" charset="0"/>
            </a:rPr>
            <a:t>Patients by Age Group</a:t>
          </a:r>
          <a:endParaRPr lang="en-IN" sz="1100">
            <a:solidFill>
              <a:schemeClr val="dk1"/>
            </a:solidFill>
            <a:latin typeface="Aptos Narrow" panose="020B0004020202020204" pitchFamily="34" charset="0"/>
          </a:endParaRPr>
        </a:p>
      </xdr:txBody>
    </xdr:sp>
    <xdr:clientData/>
  </xdr:twoCellAnchor>
  <xdr:twoCellAnchor>
    <xdr:from>
      <xdr:col>11</xdr:col>
      <xdr:colOff>347869</xdr:colOff>
      <xdr:row>0</xdr:row>
      <xdr:rowOff>1</xdr:rowOff>
    </xdr:from>
    <xdr:to>
      <xdr:col>15</xdr:col>
      <xdr:colOff>190500</xdr:colOff>
      <xdr:row>8</xdr:row>
      <xdr:rowOff>157371</xdr:rowOff>
    </xdr:to>
    <xdr:graphicFrame macro="">
      <xdr:nvGraphicFramePr>
        <xdr:cNvPr id="40" name="Chart 39">
          <a:extLst>
            <a:ext uri="{FF2B5EF4-FFF2-40B4-BE49-F238E27FC236}">
              <a16:creationId xmlns:a16="http://schemas.microsoft.com/office/drawing/2014/main" id="{37462C22-5B91-42F2-A39C-D07B0585D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11</xdr:col>
      <xdr:colOff>505239</xdr:colOff>
      <xdr:row>7</xdr:row>
      <xdr:rowOff>115957</xdr:rowOff>
    </xdr:from>
    <xdr:to>
      <xdr:col>14</xdr:col>
      <xdr:colOff>124238</xdr:colOff>
      <xdr:row>8</xdr:row>
      <xdr:rowOff>134179</xdr:rowOff>
    </xdr:to>
    <xdr:sp macro="" textlink="">
      <xdr:nvSpPr>
        <xdr:cNvPr id="42" name="TextBox 41">
          <a:extLst>
            <a:ext uri="{FF2B5EF4-FFF2-40B4-BE49-F238E27FC236}">
              <a16:creationId xmlns:a16="http://schemas.microsoft.com/office/drawing/2014/main" id="{D9B823F4-6B61-4A65-B4AA-34380FEDDFA5}"/>
            </a:ext>
          </a:extLst>
        </xdr:cNvPr>
        <xdr:cNvSpPr txBox="1"/>
      </xdr:nvSpPr>
      <xdr:spPr>
        <a:xfrm>
          <a:off x="7247282" y="1449457"/>
          <a:ext cx="1457739" cy="20872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latin typeface="Aptos Narrow" panose="020B0004020202020204" pitchFamily="34" charset="0"/>
            </a:rPr>
            <a:t>Patient</a:t>
          </a:r>
          <a:r>
            <a:rPr lang="en-IN" sz="1200" baseline="0">
              <a:latin typeface="Aptos Narrow" panose="020B0004020202020204" pitchFamily="34" charset="0"/>
            </a:rPr>
            <a:t> Attended Status</a:t>
          </a:r>
          <a:endParaRPr lang="en-IN" sz="1100">
            <a:solidFill>
              <a:schemeClr val="dk1"/>
            </a:solidFill>
            <a:latin typeface="Aptos Narrow" panose="020B0004020202020204" pitchFamily="34" charset="0"/>
          </a:endParaRPr>
        </a:p>
      </xdr:txBody>
    </xdr:sp>
    <xdr:clientData/>
  </xdr:twoCellAnchor>
  <xdr:twoCellAnchor>
    <xdr:from>
      <xdr:col>13</xdr:col>
      <xdr:colOff>563217</xdr:colOff>
      <xdr:row>0</xdr:row>
      <xdr:rowOff>57977</xdr:rowOff>
    </xdr:from>
    <xdr:to>
      <xdr:col>18</xdr:col>
      <xdr:colOff>596347</xdr:colOff>
      <xdr:row>8</xdr:row>
      <xdr:rowOff>107674</xdr:rowOff>
    </xdr:to>
    <xdr:graphicFrame macro="">
      <xdr:nvGraphicFramePr>
        <xdr:cNvPr id="43" name="Chart 42">
          <a:extLst>
            <a:ext uri="{FF2B5EF4-FFF2-40B4-BE49-F238E27FC236}">
              <a16:creationId xmlns:a16="http://schemas.microsoft.com/office/drawing/2014/main" id="{B6042178-73F1-4A1D-A9CF-569D510E7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14</xdr:col>
      <xdr:colOff>516834</xdr:colOff>
      <xdr:row>7</xdr:row>
      <xdr:rowOff>110987</xdr:rowOff>
    </xdr:from>
    <xdr:to>
      <xdr:col>17</xdr:col>
      <xdr:colOff>135834</xdr:colOff>
      <xdr:row>8</xdr:row>
      <xdr:rowOff>129209</xdr:rowOff>
    </xdr:to>
    <xdr:sp macro="" textlink="">
      <xdr:nvSpPr>
        <xdr:cNvPr id="44" name="TextBox 43">
          <a:extLst>
            <a:ext uri="{FF2B5EF4-FFF2-40B4-BE49-F238E27FC236}">
              <a16:creationId xmlns:a16="http://schemas.microsoft.com/office/drawing/2014/main" id="{E646EB07-7B5A-499C-8AFD-44607D115EBD}"/>
            </a:ext>
          </a:extLst>
        </xdr:cNvPr>
        <xdr:cNvSpPr txBox="1"/>
      </xdr:nvSpPr>
      <xdr:spPr>
        <a:xfrm>
          <a:off x="9097617" y="1444487"/>
          <a:ext cx="1457739" cy="20872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aseline="0">
              <a:latin typeface="Aptos Narrow" panose="020B0004020202020204" pitchFamily="34" charset="0"/>
            </a:rPr>
            <a:t>Gender wise Analysis</a:t>
          </a:r>
          <a:endParaRPr lang="en-IN" sz="1100">
            <a:solidFill>
              <a:schemeClr val="dk1"/>
            </a:solidFill>
            <a:latin typeface="Aptos Narrow" panose="020B0004020202020204" pitchFamily="34" charset="0"/>
          </a:endParaRPr>
        </a:p>
      </xdr:txBody>
    </xdr:sp>
    <xdr:clientData/>
  </xdr:twoCellAnchor>
  <xdr:twoCellAnchor>
    <xdr:from>
      <xdr:col>11</xdr:col>
      <xdr:colOff>438979</xdr:colOff>
      <xdr:row>9</xdr:row>
      <xdr:rowOff>16565</xdr:rowOff>
    </xdr:from>
    <xdr:to>
      <xdr:col>17</xdr:col>
      <xdr:colOff>91109</xdr:colOff>
      <xdr:row>27</xdr:row>
      <xdr:rowOff>41412</xdr:rowOff>
    </xdr:to>
    <xdr:graphicFrame macro="">
      <xdr:nvGraphicFramePr>
        <xdr:cNvPr id="45" name="Chart 44">
          <a:extLst>
            <a:ext uri="{FF2B5EF4-FFF2-40B4-BE49-F238E27FC236}">
              <a16:creationId xmlns:a16="http://schemas.microsoft.com/office/drawing/2014/main" id="{80B4B0E1-BFAB-43F7-9ECA-C5108F4A0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12</xdr:col>
      <xdr:colOff>281608</xdr:colOff>
      <xdr:row>26</xdr:row>
      <xdr:rowOff>132522</xdr:rowOff>
    </xdr:from>
    <xdr:to>
      <xdr:col>16</xdr:col>
      <xdr:colOff>281608</xdr:colOff>
      <xdr:row>27</xdr:row>
      <xdr:rowOff>150744</xdr:rowOff>
    </xdr:to>
    <xdr:sp macro="" textlink="">
      <xdr:nvSpPr>
        <xdr:cNvPr id="46" name="TextBox 45">
          <a:extLst>
            <a:ext uri="{FF2B5EF4-FFF2-40B4-BE49-F238E27FC236}">
              <a16:creationId xmlns:a16="http://schemas.microsoft.com/office/drawing/2014/main" id="{BFA53EF8-3847-4054-AD0A-0FE8D7B17368}"/>
            </a:ext>
          </a:extLst>
        </xdr:cNvPr>
        <xdr:cNvSpPr txBox="1"/>
      </xdr:nvSpPr>
      <xdr:spPr>
        <a:xfrm>
          <a:off x="7636565" y="5085522"/>
          <a:ext cx="2451652" cy="20872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aseline="0">
              <a:latin typeface="Aptos Narrow" panose="020B0004020202020204" pitchFamily="34" charset="0"/>
            </a:rPr>
            <a:t> No. of Patient by Department Referral</a:t>
          </a:r>
          <a:endParaRPr lang="en-IN" sz="1100">
            <a:solidFill>
              <a:schemeClr val="dk1"/>
            </a:solidFill>
            <a:latin typeface="Aptos Narrow" panose="020B0004020202020204" pitchFamily="34" charset="0"/>
          </a:endParaRPr>
        </a:p>
      </xdr:txBody>
    </xdr:sp>
    <xdr:clientData/>
  </xdr:twoCellAnchor>
  <xdr:twoCellAnchor editAs="oneCell">
    <xdr:from>
      <xdr:col>9</xdr:col>
      <xdr:colOff>240195</xdr:colOff>
      <xdr:row>0</xdr:row>
      <xdr:rowOff>99391</xdr:rowOff>
    </xdr:from>
    <xdr:to>
      <xdr:col>11</xdr:col>
      <xdr:colOff>190501</xdr:colOff>
      <xdr:row>4</xdr:row>
      <xdr:rowOff>8282</xdr:rowOff>
    </xdr:to>
    <mc:AlternateContent xmlns:mc="http://schemas.openxmlformats.org/markup-compatibility/2006" xmlns:a14="http://schemas.microsoft.com/office/drawing/2010/main">
      <mc:Choice Requires="a14">
        <xdr:graphicFrame macro="">
          <xdr:nvGraphicFramePr>
            <xdr:cNvPr id="47" name="Date (Year)">
              <a:extLst>
                <a:ext uri="{FF2B5EF4-FFF2-40B4-BE49-F238E27FC236}">
                  <a16:creationId xmlns:a16="http://schemas.microsoft.com/office/drawing/2014/main" id="{533BE365-F14B-4D98-9B8A-2B493F0ADA6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756412" y="99391"/>
              <a:ext cx="1176132" cy="670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38100</xdr:rowOff>
    </xdr:from>
    <xdr:to>
      <xdr:col>27</xdr:col>
      <xdr:colOff>9525</xdr:colOff>
      <xdr:row>25</xdr:row>
      <xdr:rowOff>171450</xdr:rowOff>
    </xdr:to>
    <xdr:graphicFrame macro="">
      <xdr:nvGraphicFramePr>
        <xdr:cNvPr id="2" name="Chart 1">
          <a:extLst>
            <a:ext uri="{FF2B5EF4-FFF2-40B4-BE49-F238E27FC236}">
              <a16:creationId xmlns:a16="http://schemas.microsoft.com/office/drawing/2014/main" id="{DBB28171-7F11-45C9-A2D9-711ED1CF6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180975</xdr:colOff>
      <xdr:row>0</xdr:row>
      <xdr:rowOff>28575</xdr:rowOff>
    </xdr:from>
    <xdr:to>
      <xdr:col>1</xdr:col>
      <xdr:colOff>219075</xdr:colOff>
      <xdr:row>3</xdr:row>
      <xdr:rowOff>104775</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1FAB126-D75E-433D-AC71-6C9F3713EDC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80975" y="28575"/>
          <a:ext cx="647700" cy="647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0</xdr:row>
      <xdr:rowOff>171450</xdr:rowOff>
    </xdr:from>
    <xdr:to>
      <xdr:col>26</xdr:col>
      <xdr:colOff>257175</xdr:colOff>
      <xdr:row>26</xdr:row>
      <xdr:rowOff>171450</xdr:rowOff>
    </xdr:to>
    <xdr:graphicFrame macro="">
      <xdr:nvGraphicFramePr>
        <xdr:cNvPr id="2" name="Chart 1">
          <a:extLst>
            <a:ext uri="{FF2B5EF4-FFF2-40B4-BE49-F238E27FC236}">
              <a16:creationId xmlns:a16="http://schemas.microsoft.com/office/drawing/2014/main" id="{A170F936-356F-4076-9E10-8D468209E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352425</xdr:colOff>
      <xdr:row>1</xdr:row>
      <xdr:rowOff>104775</xdr:rowOff>
    </xdr:from>
    <xdr:to>
      <xdr:col>1</xdr:col>
      <xdr:colOff>342900</xdr:colOff>
      <xdr:row>4</xdr:row>
      <xdr:rowOff>133350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4DBE8BDB-1E61-4A0C-8720-987FD8F0F4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2425" y="295275"/>
          <a:ext cx="600075" cy="6000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514350</xdr:colOff>
      <xdr:row>27</xdr:row>
      <xdr:rowOff>123825</xdr:rowOff>
    </xdr:to>
    <xdr:graphicFrame macro="">
      <xdr:nvGraphicFramePr>
        <xdr:cNvPr id="4" name="Chart 3">
          <a:extLst>
            <a:ext uri="{FF2B5EF4-FFF2-40B4-BE49-F238E27FC236}">
              <a16:creationId xmlns:a16="http://schemas.microsoft.com/office/drawing/2014/main" id="{21E274FC-6D52-4FC8-B088-AC87D8F9D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0</xdr:row>
      <xdr:rowOff>57150</xdr:rowOff>
    </xdr:from>
    <xdr:to>
      <xdr:col>1</xdr:col>
      <xdr:colOff>104775</xdr:colOff>
      <xdr:row>3</xdr:row>
      <xdr:rowOff>85725</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5E060871-F0CB-4925-BD56-BFA3CA9E0C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4300" y="57150"/>
          <a:ext cx="600075" cy="6000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ftab" refreshedDate="46283.407444560187" createdVersion="5" refreshedVersion="8" minRefreshableVersion="3" recordCount="0" supportSubquery="1" supportAdvancedDrill="1" xr:uid="{B8C8F54E-D1B1-4131-830A-9223BE202AC8}">
  <cacheSource type="external" connectionId="3"/>
  <cacheFields count="4">
    <cacheField name="[Calenda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_Table].[Date (Month)].[Date (Month)]" caption="Date (Month)" numFmtId="0" hierarchy="3" level="1">
      <sharedItems containsNonDate="0" count="12">
        <s v="Jan"/>
        <s v="Feb"/>
        <s v="Mar"/>
        <s v="Apr"/>
        <s v="May"/>
        <s v="Jun"/>
        <s v="Jul"/>
        <s v="Aug"/>
        <s v="Sep"/>
        <s v="Oct"/>
        <s v="Nov"/>
        <s v="Dec"/>
      </sharedItems>
    </cacheField>
    <cacheField name="[Calendar_Table].[Date (Quarter)].[Date (Quarter)]" caption="Date (Quarter)" numFmtId="0" hierarchy="2" level="1">
      <sharedItems containsNonDate="0" count="4">
        <s v="Qtr1"/>
        <s v="Qtr2"/>
        <s v="Qtr3"/>
        <s v="Qtr4"/>
      </sharedItems>
    </cacheField>
    <cacheField name="[Calendar_Table].[Date (Year)].[Date (Year)]" caption="Date (Year)" numFmtId="0" hierarchy="1"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ftab" refreshedDate="46283.407445023149" createdVersion="5" refreshedVersion="8" minRefreshableVersion="3" recordCount="0" supportSubquery="1" supportAdvancedDrill="1" xr:uid="{805D4F7C-BE56-421D-890C-D247705B97E2}">
  <cacheSource type="external" connectionId="3"/>
  <cacheFields count="3">
    <cacheField name="[Measures].[Distinct Count of Patient Id]" caption="Distinct Count of Patient Id" numFmtId="0" hierarchy="24"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ftab" refreshedDate="46283.40744560185" createdVersion="5" refreshedVersion="8" minRefreshableVersion="3" recordCount="0" supportSubquery="1" supportAdvancedDrill="1" xr:uid="{0D8F1F8F-814B-4F15-99A2-A4CE9A46E7F7}">
  <cacheSource type="external" connectionId="3"/>
  <cacheFields count="4">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ftab" refreshedDate="46283.407446296296" createdVersion="5" refreshedVersion="8" minRefreshableVersion="3" recordCount="0" supportSubquery="1" supportAdvancedDrill="1" xr:uid="{401B7513-F9FB-4ACA-BE8A-120DE6E08453}">
  <cacheSource type="external" connectionId="3"/>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ftab" refreshedDate="46283.407446874997" createdVersion="5" refreshedVersion="8" minRefreshableVersion="3" recordCount="0" supportSubquery="1" supportAdvancedDrill="1" xr:uid="{C8BA727A-6704-4C4E-B1C9-D06A8834F8C1}">
  <cacheSource type="external" connectionId="3"/>
  <cacheFields count="3">
    <cacheField name="[Measures].[Average of Patient Waittime]" caption="Average of Patient Waittime" numFmtId="0" hierarchy="26"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ftab" refreshedDate="46283.407447337966" createdVersion="5" refreshedVersion="8" minRefreshableVersion="3" recordCount="0" supportSubquery="1" supportAdvancedDrill="1" xr:uid="{8B498117-E870-4BBC-B12E-D0741CFAB35F}">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ftab" refreshedDate="46283.407448379628" createdVersion="5" refreshedVersion="8" minRefreshableVersion="3" recordCount="0" supportSubquery="1" supportAdvancedDrill="1" xr:uid="{AD382F81-026D-434B-AE12-C94787015608}">
  <cacheSource type="external" connectionId="3"/>
  <cacheFields count="4">
    <cacheField name="[Measures].[Distinct Count of Patient Id]" caption="Distinct Count of Patient Id" numFmtId="0" hierarchy="24" level="32767"/>
    <cacheField name="[Calendar_Table].[Date (Day)].[Date (Day)]" caption="Date (Day)" numFmtId="0" hierarchy="4" level="1">
      <sharedItems count="31">
        <s v="1-Apr"/>
        <s v="2-Apr"/>
        <s v="3-Apr"/>
        <s v="4-Apr"/>
        <s v="5-Apr"/>
        <s v="6-Apr"/>
        <s v="7-Apr"/>
        <s v="8-Apr"/>
        <s v="9-Apr"/>
        <s v="10-Apr"/>
        <s v="11-Apr"/>
        <s v="12-Apr"/>
        <s v="13-Apr"/>
        <s v="14-Apr"/>
        <s v="15-Apr"/>
        <s v="16-Apr"/>
        <s v="17-Apr"/>
        <s v="18-Apr"/>
        <s v="19-Apr"/>
        <s v="20-Apr"/>
        <s v="21-Apr"/>
        <s v="22-Apr"/>
        <s v="23-Apr"/>
        <s v="24-Apr"/>
        <s v="25-Apr"/>
        <s v="26-Apr"/>
        <s v="27-Apr"/>
        <s v="28-Apr"/>
        <s v="29-Apr"/>
        <s v="30-Apr"/>
        <s v="8-May" u="1"/>
      </sharedItems>
    </cacheField>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ftab" refreshedDate="46283.407449421298" createdVersion="5" refreshedVersion="8" minRefreshableVersion="3" recordCount="0" supportSubquery="1" supportAdvancedDrill="1" xr:uid="{47F6BD91-E702-44DC-898E-CBF7A3343604}">
  <cacheSource type="external" connectionId="3"/>
  <cacheFields count="4">
    <cacheField name="[Calendar_Table].[Date (Day)].[Date (Day)]" caption="Date (Day)" numFmtId="0" hierarchy="4"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ar_Table].[Date (Month)].[Date (Month)]" caption="Date (Month)" numFmtId="0" hierarchy="3"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ftab" refreshedDate="46283.40744988426" createdVersion="5" refreshedVersion="8" minRefreshableVersion="3" recordCount="0" supportSubquery="1" supportAdvancedDrill="1" xr:uid="{E4BFD130-FC28-486A-8597-F5B420EAA879}">
  <cacheSource type="external" connectionId="3"/>
  <cacheFields count="4">
    <cacheField name="[Calendar_Table].[Date (Day)].[Date (Day)]" caption="Date (Day)" numFmtId="0" hierarchy="4"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3"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ftab" refreshedDate="46283.407450578707" createdVersion="5" refreshedVersion="8" minRefreshableVersion="3" recordCount="0" supportSubquery="1" supportAdvancedDrill="1" xr:uid="{6C52DAA7-4DEB-4AF8-9B0E-8D540EB30B90}">
  <cacheSource type="external" connectionId="3"/>
  <cacheFields count="5">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ftab" refreshedDate="46283.407450925923" createdVersion="5" refreshedVersion="8" minRefreshableVersion="3" recordCount="0" supportSubquery="1" supportAdvancedDrill="1" xr:uid="{B672916C-432C-4CB8-9985-C698A2A7BFBA}">
  <cacheSource type="external" connectionId="3"/>
  <cacheFields count="4">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ftab" refreshedDate="46283.407451851854" createdVersion="5" refreshedVersion="8" minRefreshableVersion="3" recordCount="0" supportSubquery="1" supportAdvancedDrill="1" xr:uid="{E96633DF-10D4-4F1B-9797-4768BA435096}">
  <cacheSource type="external" connectionId="3"/>
  <cacheFields count="4">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Kadam" refreshedDate="45857.675242592595" createdVersion="3" refreshedVersion="7" minRefreshableVersion="3" recordCount="0" supportSubquery="1" supportAdvancedDrill="1" xr:uid="{B6F6E0CA-0405-4ADE-B7EB-19BD0BED75E6}">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983791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39C51A-177E-4A04-A738-5E3533443081}" name="PivotTable5" cacheId="494" applyNumberFormats="0" applyBorderFormats="0" applyFontFormats="0" applyPatternFormats="0" applyAlignmentFormats="0" applyWidthHeightFormats="1" dataCaption="Values" tag="ddd853ad-f2fb-4004-9ff0-42c7fb7d9833" updatedVersion="8" minRefreshableVersion="3" subtotalHiddenItems="1" itemPrintTitles="1" createdVersion="5" indent="0" outline="1" outlineData="1" multipleFieldFilters="0" chartFormat="29">
  <location ref="O6:P34"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56">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3F27F6-4D78-4DCD-A89B-9889C02817EB}" name="PivotTable10" cacheId="479" applyNumberFormats="0" applyBorderFormats="0" applyFontFormats="0" applyPatternFormats="0" applyAlignmentFormats="0" applyWidthHeightFormats="1" dataCaption="Values" tag="91f2f3e1-4fb9-4868-a778-2cdab120e7f3" updatedVersion="8" minRefreshableVersion="3" subtotalHiddenItems="1" itemPrintTitles="1" createdVersion="5" indent="0" outline="1" outlineData="1" multipleFieldFilters="0" chartFormat="12">
  <location ref="R31:S3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1">
    <format dxfId="57">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13766D-99BA-4DF8-AF82-3A48D369752C}" name="PivotTable1" cacheId="476" applyNumberFormats="0" applyBorderFormats="0" applyFontFormats="0" applyPatternFormats="0" applyAlignmentFormats="0" applyWidthHeightFormats="1" dataCaption="Values" tag="e4b9bf10-82c3-4040-b06c-3b24d5e8c578" updatedVersion="8" minRefreshableVersion="3" subtotalHiddenItems="1" itemPrintTitles="1" createdVersion="5" indent="0" outline="1" outlineData="1" multipleFieldFilters="0">
  <location ref="B6:B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CBDC56-C878-435B-991A-DD643BECE3D8}" name="PivotTable4" cacheId="491" applyNumberFormats="0" applyBorderFormats="0" applyFontFormats="0" applyPatternFormats="0" applyAlignmentFormats="0" applyWidthHeightFormats="1" dataCaption="Values" tag="7b1cd808-dc69-45de-9e66-8ef828fecf17" updatedVersion="8" minRefreshableVersion="3" subtotalHiddenItems="1" itemPrintTitles="1" createdVersion="5" indent="0" outline="1" outlineData="1" multipleFieldFilters="0" chartFormat="9">
  <location ref="H6:I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 count="1" selected="0">
            <x v="30"/>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95F44D-FA30-4DCC-84F2-398568E28808}" name="PivotTable9" cacheId="506" applyNumberFormats="0" applyBorderFormats="0" applyFontFormats="0" applyPatternFormats="0" applyAlignmentFormats="0" applyWidthHeightFormats="1" dataCaption="Values" tag="cb71857a-7da6-47b1-8108-1ebcd83c1055" updatedVersion="8" minRefreshableVersion="3" subtotalHiddenItems="1" itemPrintTitles="1" createdVersion="5" indent="0" outline="1" outlineData="1" multipleFieldFilters="0" chartFormat="8">
  <location ref="R25:S2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formats count="2">
    <format dxfId="59">
      <pivotArea outline="0" collapsedLevelsAreSubtotals="1" fieldPosition="0"/>
    </format>
    <format dxfId="58">
      <pivotArea collapsedLevelsAreSubtotals="1" fieldPosition="0">
        <references count="1">
          <reference field="0" count="0"/>
        </references>
      </pivotArea>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A9CAED-2D33-4271-978C-ADB4E91E0065}" name="PivotTable3" cacheId="488" applyNumberFormats="0" applyBorderFormats="0" applyFontFormats="0" applyPatternFormats="0" applyAlignmentFormats="0" applyWidthHeightFormats="1" dataCaption="Values" tag="a2481eab-5459-4e49-a092-7702365c2173" updatedVersion="8" minRefreshableVersion="3" subtotalHiddenItems="1" itemPrintTitles="1" createdVersion="5" indent="0" outline="1" outlineData="1" multipleFieldFilters="0">
  <location ref="B16:B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0">
      <pivotArea outline="0" collapsedLevelsAreSubtotals="1" fieldPosition="0"/>
    </format>
  </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BDA87F-59AD-461F-A5A5-E916D1D2A23E}" name="PivotTable8" cacheId="503" applyNumberFormats="0" applyBorderFormats="0" applyFontFormats="0" applyPatternFormats="0" applyAlignmentFormats="0" applyWidthHeightFormats="1" dataCaption="Values" tag="4ff878ca-95d4-4a46-9cf0-accf0c23ee40" updatedVersion="8" minRefreshableVersion="3" subtotalHiddenItems="1" itemPrintTitles="1" createdVersion="5" indent="0" outline="1" outlineData="1" multipleFieldFilters="0" chartFormat="4">
  <location ref="R12:S21"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2">
    <format dxfId="62">
      <pivotArea outline="0" collapsedLevelsAreSubtotals="1" fieldPosition="0"/>
    </format>
    <format dxfId="61">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20CD73-2E7C-4A4A-A090-33D68776DA92}" name="PivotTable6" cacheId="497" applyNumberFormats="0" applyBorderFormats="0" applyFontFormats="0" applyPatternFormats="0" applyAlignmentFormats="0" applyWidthHeightFormats="1" dataCaption="Values" tag="a2e45417-c996-46b1-bb7e-a38686ab5a39" updatedVersion="8" minRefreshableVersion="3" subtotalHiddenItems="1" itemPrintTitles="1" createdVersion="5" indent="0" outline="1" outlineData="1" multipleFieldFilters="0" chartFormat="22">
  <location ref="L6:M3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3" numFmtId="2"/>
  </dataFields>
  <formats count="1">
    <format dxfId="63">
      <pivotArea outline="0" collapsedLevelsAreSubtotals="1" fieldPosition="0"/>
    </format>
  </formats>
  <chartFormats count="4">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Count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DA391D-7F57-4B12-B75C-90AE2A78EFFE}" name="PivotTable7" cacheId="500" applyNumberFormats="0" applyBorderFormats="0" applyFontFormats="0" applyPatternFormats="0" applyAlignmentFormats="0" applyWidthHeightFormats="1" dataCaption="Values" tag="7ef50afb-a652-4912-bbca-5e5abdfc05a8" updatedVersion="8" minRefreshableVersion="3" subtotalHiddenItems="1" itemPrintTitles="1" createdVersion="5" indent="0" outline="1" outlineData="1" multipleFieldFilters="0" chartFormat="22">
  <location ref="C1:E4"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2">
    <format dxfId="65">
      <pivotArea outline="0" collapsedLevelsAreSubtotals="1" fieldPosition="0"/>
    </format>
    <format dxfId="64">
      <pivotArea outline="0" fieldPosition="0">
        <references count="1">
          <reference field="4294967294" count="1">
            <x v="1"/>
          </reference>
        </references>
      </pivotArea>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525828-ACE2-47E2-ADFA-D5E9DCB44E8A}" name="PivotTable12" cacheId="473" applyNumberFormats="0" applyBorderFormats="0" applyFontFormats="0" applyPatternFormats="0" applyAlignmentFormats="0" applyWidthHeightFormats="1" dataCaption="Values" tag="7bc36c5b-b424-49a8-96f7-71c8f69e46dc" updatedVersion="8" minRefreshableVersion="3" subtotalHiddenItems="1" itemPrintTitles="1" createdVersion="5" indent="0" outline="1" outlineData="1" multipleFieldFilters="0" chartFormat="8">
  <location ref="W6:W8"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s="1"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s>
  <rowFields count="4">
    <field x="3"/>
    <field x="2"/>
    <field x="1"/>
    <field x="0"/>
  </rowFields>
  <rowItems count="2">
    <i>
      <x/>
    </i>
    <i t="grand">
      <x/>
    </i>
  </rowItems>
  <formats count="1">
    <format dxfId="66">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
    <rowHierarchyUsage hierarchyUsage="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DD9952-CE25-483F-8664-24869E01A7A7}" name="PivotTable11" cacheId="482" applyNumberFormats="0" applyBorderFormats="0" applyFontFormats="0" applyPatternFormats="0" applyAlignmentFormats="0" applyWidthHeightFormats="1" dataCaption="Values" tag="4f8aa04c-9b58-4377-990e-88e7c96b7005" updatedVersion="8" minRefreshableVersion="3" subtotalHiddenItems="1" itemPrintTitles="1" createdVersion="5" indent="0" outline="1" outlineData="1" multipleFieldFilters="0" chartFormat="16">
  <location ref="R37:S46"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7"/>
    </i>
    <i>
      <x v="1"/>
    </i>
    <i>
      <x v="3"/>
    </i>
    <i>
      <x/>
    </i>
    <i>
      <x v="6"/>
    </i>
    <i>
      <x v="5"/>
    </i>
    <i>
      <x v="2"/>
    </i>
    <i>
      <x v="4"/>
    </i>
    <i t="grand">
      <x/>
    </i>
  </rowItems>
  <colItems count="1">
    <i/>
  </colItems>
  <dataFields count="1">
    <dataField name="Count of Department Referral" fld="1" subtotal="count" baseField="0" baseItem="0"/>
  </dataFields>
  <formats count="2">
    <format dxfId="68">
      <pivotArea outline="0" collapsedLevelsAreSubtotals="1" fieldPosition="0"/>
    </format>
    <format dxfId="67">
      <pivotArea collapsedLevelsAreSubtotals="1" fieldPosition="0">
        <references count="1">
          <reference field="0" count="0"/>
        </references>
      </pivotArea>
    </format>
  </formats>
  <chartFormats count="1">
    <chartFormat chart="1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EC99F8F-9940-4177-9FBD-927123A7CF48}" name="PivotTable2" cacheId="485" applyNumberFormats="0" applyBorderFormats="0" applyFontFormats="0" applyPatternFormats="0" applyAlignmentFormats="0" applyWidthHeightFormats="1" dataCaption="Values" tag="6868e5a9-f06b-4445-af2a-9b3e0fbb9584" updatedVersion="8" minRefreshableVersion="3" subtotalHiddenItems="1" itemPrintTitles="1" createdVersion="5" indent="0" outline="1" outlineData="1" multipleFieldFilters="0">
  <location ref="B11:B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9">
      <pivotArea outline="0" collapsedLevelsAreSubtotals="1" fieldPosition="0"/>
    </format>
  </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8A7CE4A-4D4E-4F42-AF91-D52751D90B90}" sourceName="[Calendar_Table].[Date (Month)]">
  <pivotTables>
    <pivotTable tabId="1" name="PivotTable4"/>
    <pivotTable tabId="1" name="PivotTable1"/>
    <pivotTable tabId="1" name="PivotTable2"/>
    <pivotTable tabId="1" name="PivotTable3"/>
    <pivotTable tabId="1" name="PivotTable6"/>
    <pivotTable tabId="1" name="PivotTable5"/>
    <pivotTable tabId="1" name="PivotTable7"/>
    <pivotTable tabId="1" name="PivotTable8"/>
    <pivotTable tabId="1" name="PivotTable9"/>
    <pivotTable tabId="1" name="PivotTable10"/>
    <pivotTable tabId="1" name="PivotTable11"/>
    <pivotTable tabId="1" name="PivotTable12"/>
  </pivotTables>
  <data>
    <olap pivotCacheId="39837917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044A862-9D73-49B3-98ED-07388FEA33C8}"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9837917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2FB860F0-AE6F-4E2D-AE21-DD6D94B22CAF}" cache="Slicer_Date__Month" caption="Date (Month)" showCaption="0" level="1" style="My Style" rowHeight="324000"/>
  <slicer name="Date (Year)" xr10:uid="{1FB0B2EE-7E26-49DD-8CAD-27549393C775}" cache="Slicer_Date__Year" caption="Date (Year)"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F4C70-6D50-42B9-9911-F04E6AEACFFD}">
  <sheetPr codeName="Sheet1"/>
  <dimension ref="B1:W46"/>
  <sheetViews>
    <sheetView showOutlineSymbols="0" showWhiteSpace="0" zoomScale="145" zoomScaleNormal="145" workbookViewId="0">
      <selection activeCell="F10" sqref="F10"/>
    </sheetView>
  </sheetViews>
  <sheetFormatPr defaultRowHeight="14.4" x14ac:dyDescent="0.3"/>
  <cols>
    <col min="2" max="2" width="34.33203125" bestFit="1" customWidth="1"/>
    <col min="4" max="4" width="10.5546875" bestFit="1" customWidth="1"/>
    <col min="8" max="9" width="25.109375" bestFit="1" customWidth="1"/>
    <col min="12" max="12" width="13.109375" bestFit="1" customWidth="1"/>
    <col min="13" max="13" width="26.88671875" bestFit="1" customWidth="1"/>
    <col min="15" max="15" width="13.109375" bestFit="1" customWidth="1"/>
    <col min="16" max="16" width="26.88671875" bestFit="1" customWidth="1"/>
    <col min="17" max="17" width="25.109375" bestFit="1" customWidth="1"/>
    <col min="18" max="18" width="16.33203125" bestFit="1" customWidth="1"/>
    <col min="19" max="19" width="14.33203125" bestFit="1" customWidth="1"/>
    <col min="20" max="20" width="8" bestFit="1" customWidth="1"/>
    <col min="21" max="21" width="16.109375" customWidth="1"/>
    <col min="24" max="24" width="28.44140625" bestFit="1" customWidth="1"/>
  </cols>
  <sheetData>
    <row r="1" spans="2:23" x14ac:dyDescent="0.3">
      <c r="C1" s="2" t="s">
        <v>4</v>
      </c>
      <c r="D1" t="s">
        <v>43</v>
      </c>
      <c r="E1" t="s">
        <v>46</v>
      </c>
    </row>
    <row r="2" spans="2:23" x14ac:dyDescent="0.3">
      <c r="C2" s="3" t="s">
        <v>44</v>
      </c>
      <c r="D2" s="1">
        <v>217</v>
      </c>
      <c r="E2" s="6">
        <v>0.46268656716417911</v>
      </c>
    </row>
    <row r="3" spans="2:23" x14ac:dyDescent="0.3">
      <c r="C3" s="3" t="s">
        <v>45</v>
      </c>
      <c r="D3" s="1">
        <v>252</v>
      </c>
      <c r="E3" s="6">
        <v>0.53731343283582089</v>
      </c>
    </row>
    <row r="4" spans="2:23" x14ac:dyDescent="0.3">
      <c r="C4" s="3" t="s">
        <v>5</v>
      </c>
      <c r="D4" s="1">
        <v>469</v>
      </c>
      <c r="E4" s="6">
        <v>1</v>
      </c>
    </row>
    <row r="5" spans="2:23" x14ac:dyDescent="0.3">
      <c r="B5" t="s">
        <v>1</v>
      </c>
      <c r="O5" t="s">
        <v>39</v>
      </c>
    </row>
    <row r="6" spans="2:23" x14ac:dyDescent="0.3">
      <c r="B6" t="s">
        <v>0</v>
      </c>
      <c r="H6" s="2" t="s">
        <v>4</v>
      </c>
      <c r="I6" t="s">
        <v>0</v>
      </c>
      <c r="L6" s="2" t="s">
        <v>4</v>
      </c>
      <c r="M6" t="s">
        <v>2</v>
      </c>
      <c r="O6" s="2" t="s">
        <v>4</v>
      </c>
      <c r="P6" t="s">
        <v>3</v>
      </c>
      <c r="R6" s="9" t="s">
        <v>47</v>
      </c>
      <c r="S6" s="9" t="s">
        <v>48</v>
      </c>
      <c r="T6" s="9" t="s">
        <v>49</v>
      </c>
      <c r="U6" s="8"/>
      <c r="W6" s="2" t="s">
        <v>4</v>
      </c>
    </row>
    <row r="7" spans="2:23" x14ac:dyDescent="0.3">
      <c r="B7" s="14">
        <v>469</v>
      </c>
      <c r="H7" s="3" t="s">
        <v>6</v>
      </c>
      <c r="I7" s="14">
        <v>12</v>
      </c>
      <c r="L7" s="3" t="s">
        <v>6</v>
      </c>
      <c r="M7" s="1">
        <v>31.833333333333332</v>
      </c>
      <c r="O7" s="3" t="s">
        <v>7</v>
      </c>
      <c r="P7" s="1">
        <v>4.5999999999999996</v>
      </c>
      <c r="R7" s="10" t="str">
        <f>C3</f>
        <v>Not Admitted</v>
      </c>
      <c r="S7" s="10">
        <f>D3</f>
        <v>252</v>
      </c>
      <c r="T7" s="11">
        <f>E3</f>
        <v>0.53731343283582089</v>
      </c>
      <c r="U7" s="12"/>
      <c r="W7" s="3" t="s">
        <v>75</v>
      </c>
    </row>
    <row r="8" spans="2:23" x14ac:dyDescent="0.3">
      <c r="H8" s="3" t="s">
        <v>7</v>
      </c>
      <c r="I8" s="14">
        <v>19</v>
      </c>
      <c r="L8" s="3" t="s">
        <v>7</v>
      </c>
      <c r="M8" s="1">
        <v>39.368421052631582</v>
      </c>
      <c r="O8" s="3" t="s">
        <v>8</v>
      </c>
      <c r="P8" s="1">
        <v>4.5999999999999996</v>
      </c>
      <c r="R8" s="10" t="str">
        <f>C2</f>
        <v>Admitted</v>
      </c>
      <c r="S8" s="10">
        <f>D2</f>
        <v>217</v>
      </c>
      <c r="T8" s="11">
        <f>E2</f>
        <v>0.46268656716417911</v>
      </c>
      <c r="U8" s="12"/>
      <c r="W8" s="3" t="s">
        <v>5</v>
      </c>
    </row>
    <row r="9" spans="2:23" x14ac:dyDescent="0.3">
      <c r="H9" s="3" t="s">
        <v>8</v>
      </c>
      <c r="I9" s="14">
        <v>17</v>
      </c>
      <c r="L9" s="3" t="s">
        <v>8</v>
      </c>
      <c r="M9" s="1">
        <v>32.352941176470587</v>
      </c>
      <c r="O9" s="3" t="s">
        <v>9</v>
      </c>
      <c r="P9" s="1">
        <v>5.666666666666667</v>
      </c>
    </row>
    <row r="10" spans="2:23" x14ac:dyDescent="0.3">
      <c r="H10" s="3" t="s">
        <v>9</v>
      </c>
      <c r="I10" s="14">
        <v>20</v>
      </c>
      <c r="L10" s="3" t="s">
        <v>9</v>
      </c>
      <c r="M10" s="1">
        <v>34.049999999999997</v>
      </c>
      <c r="O10" s="3" t="s">
        <v>10</v>
      </c>
      <c r="P10" s="1">
        <v>3.4</v>
      </c>
    </row>
    <row r="11" spans="2:23" x14ac:dyDescent="0.3">
      <c r="B11" t="s">
        <v>2</v>
      </c>
      <c r="H11" s="3" t="s">
        <v>10</v>
      </c>
      <c r="I11" s="14">
        <v>15</v>
      </c>
      <c r="L11" s="3" t="s">
        <v>10</v>
      </c>
      <c r="M11" s="1">
        <v>31.8</v>
      </c>
      <c r="O11" s="3" t="s">
        <v>11</v>
      </c>
      <c r="P11" s="1">
        <v>4.333333333333333</v>
      </c>
      <c r="R11" t="s">
        <v>60</v>
      </c>
    </row>
    <row r="12" spans="2:23" x14ac:dyDescent="0.3">
      <c r="B12" s="1">
        <v>35.044776119402982</v>
      </c>
      <c r="H12" s="3" t="s">
        <v>11</v>
      </c>
      <c r="I12" s="14">
        <v>17</v>
      </c>
      <c r="L12" s="3" t="s">
        <v>11</v>
      </c>
      <c r="M12" s="1">
        <v>37.823529411764703</v>
      </c>
      <c r="O12" s="3" t="s">
        <v>12</v>
      </c>
      <c r="P12" s="1">
        <v>4.4000000000000004</v>
      </c>
      <c r="R12" s="2" t="s">
        <v>4</v>
      </c>
      <c r="S12" t="s">
        <v>58</v>
      </c>
      <c r="T12" s="4"/>
    </row>
    <row r="13" spans="2:23" x14ac:dyDescent="0.3">
      <c r="H13" s="3" t="s">
        <v>12</v>
      </c>
      <c r="I13" s="14">
        <v>16</v>
      </c>
      <c r="L13" s="3" t="s">
        <v>12</v>
      </c>
      <c r="M13" s="1">
        <v>31.875</v>
      </c>
      <c r="O13" s="3" t="s">
        <v>13</v>
      </c>
      <c r="P13" s="1">
        <v>4.25</v>
      </c>
      <c r="R13" s="3" t="s">
        <v>50</v>
      </c>
      <c r="S13" s="7">
        <v>59</v>
      </c>
      <c r="T13" s="6"/>
    </row>
    <row r="14" spans="2:23" x14ac:dyDescent="0.3">
      <c r="H14" s="3" t="s">
        <v>13</v>
      </c>
      <c r="I14" s="14">
        <v>10</v>
      </c>
      <c r="L14" s="3" t="s">
        <v>13</v>
      </c>
      <c r="M14" s="1">
        <v>27.3</v>
      </c>
      <c r="O14" s="3" t="s">
        <v>14</v>
      </c>
      <c r="P14" s="1">
        <v>4.5999999999999996</v>
      </c>
      <c r="R14" s="3" t="s">
        <v>51</v>
      </c>
      <c r="S14" s="7">
        <v>57</v>
      </c>
      <c r="T14" s="6"/>
    </row>
    <row r="15" spans="2:23" x14ac:dyDescent="0.3">
      <c r="H15" s="3" t="s">
        <v>14</v>
      </c>
      <c r="I15" s="14">
        <v>15</v>
      </c>
      <c r="L15" s="3" t="s">
        <v>14</v>
      </c>
      <c r="M15" s="1">
        <v>31.933333333333334</v>
      </c>
      <c r="O15" s="3" t="s">
        <v>16</v>
      </c>
      <c r="P15" s="1">
        <v>2.3333333333333335</v>
      </c>
      <c r="R15" s="3" t="s">
        <v>52</v>
      </c>
      <c r="S15" s="7">
        <v>69</v>
      </c>
    </row>
    <row r="16" spans="2:23" x14ac:dyDescent="0.3">
      <c r="B16" t="s">
        <v>3</v>
      </c>
      <c r="H16" s="3" t="s">
        <v>15</v>
      </c>
      <c r="I16" s="14">
        <v>14</v>
      </c>
      <c r="L16" s="3" t="s">
        <v>15</v>
      </c>
      <c r="M16" s="1">
        <v>30.5</v>
      </c>
      <c r="O16" s="3" t="s">
        <v>17</v>
      </c>
      <c r="P16" s="1">
        <v>9</v>
      </c>
      <c r="R16" s="3" t="s">
        <v>53</v>
      </c>
      <c r="S16" s="7">
        <v>62</v>
      </c>
    </row>
    <row r="17" spans="2:19" x14ac:dyDescent="0.3">
      <c r="B17" s="1">
        <v>4.6269841269841274</v>
      </c>
      <c r="H17" s="3" t="s">
        <v>16</v>
      </c>
      <c r="I17" s="14">
        <v>16</v>
      </c>
      <c r="L17" s="3" t="s">
        <v>16</v>
      </c>
      <c r="M17" s="1">
        <v>38.0625</v>
      </c>
      <c r="O17" s="3" t="s">
        <v>18</v>
      </c>
      <c r="P17" s="1">
        <v>2.75</v>
      </c>
      <c r="R17" s="3" t="s">
        <v>54</v>
      </c>
      <c r="S17" s="7">
        <v>54</v>
      </c>
    </row>
    <row r="18" spans="2:19" x14ac:dyDescent="0.3">
      <c r="H18" s="3" t="s">
        <v>17</v>
      </c>
      <c r="I18" s="14">
        <v>12</v>
      </c>
      <c r="L18" s="3" t="s">
        <v>17</v>
      </c>
      <c r="M18" s="1">
        <v>36.333333333333336</v>
      </c>
      <c r="O18" s="3" t="s">
        <v>19</v>
      </c>
      <c r="P18" s="1">
        <v>6.8888888888888893</v>
      </c>
      <c r="R18" s="3" t="s">
        <v>55</v>
      </c>
      <c r="S18" s="7">
        <v>57</v>
      </c>
    </row>
    <row r="19" spans="2:19" x14ac:dyDescent="0.3">
      <c r="H19" s="3" t="s">
        <v>18</v>
      </c>
      <c r="I19" s="14">
        <v>12</v>
      </c>
      <c r="L19" s="3" t="s">
        <v>18</v>
      </c>
      <c r="M19" s="1">
        <v>27</v>
      </c>
      <c r="O19" s="3" t="s">
        <v>20</v>
      </c>
      <c r="P19" s="1">
        <v>5</v>
      </c>
      <c r="R19" s="3" t="s">
        <v>56</v>
      </c>
      <c r="S19" s="7">
        <v>54</v>
      </c>
    </row>
    <row r="20" spans="2:19" x14ac:dyDescent="0.3">
      <c r="H20" s="3" t="s">
        <v>19</v>
      </c>
      <c r="I20" s="14">
        <v>13</v>
      </c>
      <c r="L20" s="3" t="s">
        <v>19</v>
      </c>
      <c r="M20" s="1">
        <v>37.46153846153846</v>
      </c>
      <c r="O20" s="3" t="s">
        <v>21</v>
      </c>
      <c r="P20" s="1">
        <v>4.166666666666667</v>
      </c>
      <c r="R20" s="3" t="s">
        <v>57</v>
      </c>
      <c r="S20" s="7">
        <v>57</v>
      </c>
    </row>
    <row r="21" spans="2:19" x14ac:dyDescent="0.3">
      <c r="H21" s="3" t="s">
        <v>20</v>
      </c>
      <c r="I21" s="14">
        <v>20</v>
      </c>
      <c r="L21" s="3" t="s">
        <v>20</v>
      </c>
      <c r="M21" s="1">
        <v>39.25</v>
      </c>
      <c r="O21" s="3" t="s">
        <v>22</v>
      </c>
      <c r="P21" s="1">
        <v>2.5</v>
      </c>
      <c r="R21" s="3" t="s">
        <v>5</v>
      </c>
      <c r="S21" s="1">
        <v>469</v>
      </c>
    </row>
    <row r="22" spans="2:19" x14ac:dyDescent="0.3">
      <c r="H22" s="3" t="s">
        <v>21</v>
      </c>
      <c r="I22" s="14">
        <v>17</v>
      </c>
      <c r="L22" s="3" t="s">
        <v>21</v>
      </c>
      <c r="M22" s="1">
        <v>33.647058823529413</v>
      </c>
      <c r="O22" s="3" t="s">
        <v>23</v>
      </c>
      <c r="P22" s="1">
        <v>6</v>
      </c>
    </row>
    <row r="23" spans="2:19" x14ac:dyDescent="0.3">
      <c r="H23" s="3" t="s">
        <v>22</v>
      </c>
      <c r="I23" s="14">
        <v>10</v>
      </c>
      <c r="L23" s="3" t="s">
        <v>22</v>
      </c>
      <c r="M23" s="1">
        <v>42.2</v>
      </c>
      <c r="O23" s="3" t="s">
        <v>24</v>
      </c>
      <c r="P23" s="1">
        <v>3.8</v>
      </c>
    </row>
    <row r="24" spans="2:19" x14ac:dyDescent="0.3">
      <c r="H24" s="3" t="s">
        <v>23</v>
      </c>
      <c r="I24" s="14">
        <v>16</v>
      </c>
      <c r="L24" s="3" t="s">
        <v>23</v>
      </c>
      <c r="M24" s="1">
        <v>33.3125</v>
      </c>
      <c r="O24" s="3" t="s">
        <v>25</v>
      </c>
      <c r="P24" s="1">
        <v>3.6</v>
      </c>
      <c r="R24" t="s">
        <v>61</v>
      </c>
    </row>
    <row r="25" spans="2:19" x14ac:dyDescent="0.3">
      <c r="H25" s="3" t="s">
        <v>24</v>
      </c>
      <c r="I25" s="14">
        <v>13</v>
      </c>
      <c r="L25" s="3" t="s">
        <v>24</v>
      </c>
      <c r="M25" s="1">
        <v>25.76923076923077</v>
      </c>
      <c r="O25" s="3" t="s">
        <v>27</v>
      </c>
      <c r="P25" s="1">
        <v>5.8571428571428568</v>
      </c>
      <c r="R25" s="2" t="s">
        <v>4</v>
      </c>
      <c r="S25" t="s">
        <v>42</v>
      </c>
    </row>
    <row r="26" spans="2:19" x14ac:dyDescent="0.3">
      <c r="H26" s="3" t="s">
        <v>25</v>
      </c>
      <c r="I26" s="14">
        <v>16</v>
      </c>
      <c r="L26" s="3" t="s">
        <v>25</v>
      </c>
      <c r="M26" s="1">
        <v>37.125</v>
      </c>
      <c r="O26" s="3" t="s">
        <v>28</v>
      </c>
      <c r="P26" s="1">
        <v>6.25</v>
      </c>
      <c r="R26" s="3" t="s">
        <v>40</v>
      </c>
      <c r="S26" s="7">
        <v>268</v>
      </c>
    </row>
    <row r="27" spans="2:19" x14ac:dyDescent="0.3">
      <c r="H27" s="3" t="s">
        <v>26</v>
      </c>
      <c r="I27" s="14">
        <v>18</v>
      </c>
      <c r="L27" s="3" t="s">
        <v>26</v>
      </c>
      <c r="M27" s="1">
        <v>37</v>
      </c>
      <c r="O27" s="3" t="s">
        <v>29</v>
      </c>
      <c r="P27" s="1">
        <v>4.666666666666667</v>
      </c>
      <c r="R27" s="3" t="s">
        <v>41</v>
      </c>
      <c r="S27" s="7">
        <v>201</v>
      </c>
    </row>
    <row r="28" spans="2:19" x14ac:dyDescent="0.3">
      <c r="H28" s="3" t="s">
        <v>27</v>
      </c>
      <c r="I28" s="14">
        <v>21</v>
      </c>
      <c r="L28" s="3" t="s">
        <v>27</v>
      </c>
      <c r="M28" s="1">
        <v>36.80952380952381</v>
      </c>
      <c r="O28" s="3" t="s">
        <v>30</v>
      </c>
      <c r="P28" s="1">
        <v>0</v>
      </c>
      <c r="R28" s="3" t="s">
        <v>5</v>
      </c>
      <c r="S28" s="1">
        <v>469</v>
      </c>
    </row>
    <row r="29" spans="2:19" x14ac:dyDescent="0.3">
      <c r="B29" s="3"/>
      <c r="C29" s="3"/>
      <c r="D29" s="3"/>
      <c r="H29" s="3" t="s">
        <v>28</v>
      </c>
      <c r="I29" s="14">
        <v>15</v>
      </c>
      <c r="L29" s="3" t="s">
        <v>28</v>
      </c>
      <c r="M29" s="1">
        <v>39.799999999999997</v>
      </c>
      <c r="O29" s="3" t="s">
        <v>31</v>
      </c>
      <c r="P29" s="1">
        <v>4.666666666666667</v>
      </c>
    </row>
    <row r="30" spans="2:19" x14ac:dyDescent="0.3">
      <c r="B30" s="3"/>
      <c r="C30" s="3"/>
      <c r="D30" s="3"/>
      <c r="H30" s="3" t="s">
        <v>29</v>
      </c>
      <c r="I30" s="14">
        <v>18</v>
      </c>
      <c r="L30" s="3" t="s">
        <v>29</v>
      </c>
      <c r="M30" s="1">
        <v>38</v>
      </c>
      <c r="O30" s="3" t="s">
        <v>32</v>
      </c>
      <c r="P30" s="1">
        <v>2.8</v>
      </c>
      <c r="R30" s="3" t="s">
        <v>65</v>
      </c>
    </row>
    <row r="31" spans="2:19" x14ac:dyDescent="0.3">
      <c r="B31" s="3"/>
      <c r="C31" s="3"/>
      <c r="D31" s="3"/>
      <c r="H31" s="3" t="s">
        <v>30</v>
      </c>
      <c r="I31" s="14">
        <v>15</v>
      </c>
      <c r="L31" s="3" t="s">
        <v>30</v>
      </c>
      <c r="M31" s="1">
        <v>36.133333333333333</v>
      </c>
      <c r="O31" s="3" t="s">
        <v>33</v>
      </c>
      <c r="P31" s="1">
        <v>4.2</v>
      </c>
      <c r="R31" s="2" t="s">
        <v>4</v>
      </c>
      <c r="S31" t="s">
        <v>64</v>
      </c>
    </row>
    <row r="32" spans="2:19" x14ac:dyDescent="0.3">
      <c r="B32" s="3"/>
      <c r="C32" s="3"/>
      <c r="D32" s="3"/>
      <c r="H32" s="3" t="s">
        <v>31</v>
      </c>
      <c r="I32" s="14">
        <v>18</v>
      </c>
      <c r="L32" s="3" t="s">
        <v>31</v>
      </c>
      <c r="M32" s="1">
        <v>36.555555555555557</v>
      </c>
      <c r="O32" s="3" t="s">
        <v>34</v>
      </c>
      <c r="P32" s="1">
        <v>2.5</v>
      </c>
      <c r="R32" s="3" t="s">
        <v>62</v>
      </c>
      <c r="S32" s="1">
        <v>241</v>
      </c>
    </row>
    <row r="33" spans="2:19" x14ac:dyDescent="0.3">
      <c r="B33" s="3"/>
      <c r="C33" s="3"/>
      <c r="D33" s="3"/>
      <c r="H33" s="3" t="s">
        <v>32</v>
      </c>
      <c r="I33" s="14">
        <v>19</v>
      </c>
      <c r="L33" s="3" t="s">
        <v>32</v>
      </c>
      <c r="M33" s="1">
        <v>39.210526315789473</v>
      </c>
      <c r="O33" s="3" t="s">
        <v>35</v>
      </c>
      <c r="P33" s="1">
        <v>5</v>
      </c>
      <c r="R33" s="3" t="s">
        <v>63</v>
      </c>
      <c r="S33" s="1">
        <v>228</v>
      </c>
    </row>
    <row r="34" spans="2:19" x14ac:dyDescent="0.3">
      <c r="B34" s="3"/>
      <c r="C34" s="1"/>
      <c r="D34" s="6"/>
      <c r="H34" s="3" t="s">
        <v>33</v>
      </c>
      <c r="I34" s="14">
        <v>16</v>
      </c>
      <c r="L34" s="3" t="s">
        <v>33</v>
      </c>
      <c r="M34" s="1">
        <v>31.1875</v>
      </c>
      <c r="O34" s="3" t="s">
        <v>5</v>
      </c>
      <c r="P34" s="1">
        <v>4.6269841269841274</v>
      </c>
      <c r="R34" s="3" t="s">
        <v>5</v>
      </c>
      <c r="S34" s="1">
        <v>469</v>
      </c>
    </row>
    <row r="35" spans="2:19" x14ac:dyDescent="0.3">
      <c r="H35" s="3" t="s">
        <v>34</v>
      </c>
      <c r="I35" s="14">
        <v>13</v>
      </c>
      <c r="L35" s="3" t="s">
        <v>34</v>
      </c>
      <c r="M35" s="1">
        <v>35.153846153846153</v>
      </c>
    </row>
    <row r="36" spans="2:19" x14ac:dyDescent="0.3">
      <c r="H36" s="3" t="s">
        <v>35</v>
      </c>
      <c r="I36" s="14">
        <v>16</v>
      </c>
      <c r="L36" s="3" t="s">
        <v>35</v>
      </c>
      <c r="M36" s="1">
        <v>34.25</v>
      </c>
    </row>
    <row r="37" spans="2:19" x14ac:dyDescent="0.3">
      <c r="H37" s="3" t="s">
        <v>5</v>
      </c>
      <c r="I37" s="14">
        <v>469</v>
      </c>
      <c r="L37" s="3" t="s">
        <v>5</v>
      </c>
      <c r="M37" s="1">
        <v>35.044776119402982</v>
      </c>
      <c r="R37" s="2" t="s">
        <v>4</v>
      </c>
      <c r="S37" t="s">
        <v>74</v>
      </c>
    </row>
    <row r="38" spans="2:19" x14ac:dyDescent="0.3">
      <c r="R38" s="3" t="s">
        <v>73</v>
      </c>
      <c r="S38" s="7">
        <v>3</v>
      </c>
    </row>
    <row r="39" spans="2:19" x14ac:dyDescent="0.3">
      <c r="R39" s="3" t="s">
        <v>67</v>
      </c>
      <c r="S39" s="7">
        <v>8</v>
      </c>
    </row>
    <row r="40" spans="2:19" x14ac:dyDescent="0.3">
      <c r="R40" s="3" t="s">
        <v>69</v>
      </c>
      <c r="S40" s="7">
        <v>10</v>
      </c>
    </row>
    <row r="41" spans="2:19" x14ac:dyDescent="0.3">
      <c r="R41" s="3" t="s">
        <v>66</v>
      </c>
      <c r="S41" s="7">
        <v>13</v>
      </c>
    </row>
    <row r="42" spans="2:19" x14ac:dyDescent="0.3">
      <c r="R42" s="3" t="s">
        <v>72</v>
      </c>
      <c r="S42" s="7">
        <v>15</v>
      </c>
    </row>
    <row r="43" spans="2:19" x14ac:dyDescent="0.3">
      <c r="R43" s="3" t="s">
        <v>71</v>
      </c>
      <c r="S43" s="7">
        <v>44</v>
      </c>
    </row>
    <row r="44" spans="2:19" x14ac:dyDescent="0.3">
      <c r="R44" s="3" t="s">
        <v>68</v>
      </c>
      <c r="S44" s="7">
        <v>92</v>
      </c>
    </row>
    <row r="45" spans="2:19" x14ac:dyDescent="0.3">
      <c r="R45" s="3" t="s">
        <v>70</v>
      </c>
      <c r="S45" s="7">
        <v>284</v>
      </c>
    </row>
    <row r="46" spans="2:19" x14ac:dyDescent="0.3">
      <c r="R46" s="3" t="s">
        <v>5</v>
      </c>
      <c r="S46" s="1">
        <v>469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F69B3-B5DF-42E5-A01A-CC13C85BC5E6}">
  <sheetPr codeName="Sheet2"/>
  <dimension ref="A1:W34"/>
  <sheetViews>
    <sheetView tabSelected="1" showOutlineSymbols="0" showWhiteSpace="0" zoomScale="88" zoomScaleNormal="98" workbookViewId="0">
      <selection activeCell="X17" sqref="X17"/>
    </sheetView>
  </sheetViews>
  <sheetFormatPr defaultRowHeight="14.4" x14ac:dyDescent="0.3"/>
  <sheetData>
    <row r="1" spans="1:23" x14ac:dyDescent="0.3">
      <c r="A1" s="13"/>
      <c r="B1" s="13"/>
      <c r="C1" s="13"/>
      <c r="D1" s="13"/>
      <c r="E1" s="13"/>
      <c r="F1" s="13"/>
      <c r="G1" s="13"/>
      <c r="H1" s="13"/>
      <c r="I1" s="13"/>
      <c r="J1" s="13"/>
      <c r="K1" s="13"/>
      <c r="L1" s="13"/>
      <c r="M1" s="13"/>
      <c r="N1" s="13"/>
      <c r="O1" s="13"/>
      <c r="P1" s="13"/>
      <c r="Q1" s="13"/>
      <c r="R1" s="13"/>
      <c r="S1" s="13"/>
      <c r="T1" s="13"/>
      <c r="U1" s="13"/>
      <c r="V1" s="13"/>
      <c r="W1" s="13"/>
    </row>
    <row r="2" spans="1:23" x14ac:dyDescent="0.3">
      <c r="A2" s="13"/>
      <c r="B2" s="13"/>
      <c r="C2" s="13"/>
      <c r="D2" s="13"/>
      <c r="E2" s="13"/>
      <c r="F2" s="13"/>
      <c r="G2" s="13"/>
      <c r="H2" s="13"/>
      <c r="I2" s="13"/>
      <c r="J2" s="13"/>
      <c r="K2" s="13"/>
      <c r="L2" s="13"/>
      <c r="M2" s="13"/>
      <c r="N2" s="13"/>
      <c r="O2" s="13"/>
      <c r="P2" s="13"/>
      <c r="Q2" s="13"/>
      <c r="R2" s="13"/>
      <c r="S2" s="13"/>
      <c r="T2" s="13"/>
      <c r="U2" s="13"/>
      <c r="V2" s="13"/>
      <c r="W2" s="13"/>
    </row>
    <row r="3" spans="1:23" x14ac:dyDescent="0.3">
      <c r="A3" s="13"/>
      <c r="B3" s="13"/>
      <c r="C3" s="13"/>
      <c r="D3" s="13"/>
      <c r="E3" s="13"/>
      <c r="F3" s="13"/>
      <c r="G3" s="13"/>
      <c r="H3" s="13"/>
      <c r="I3" s="13"/>
      <c r="J3" s="13"/>
      <c r="K3" s="13"/>
      <c r="L3" s="13"/>
      <c r="M3" s="13"/>
      <c r="N3" s="13"/>
      <c r="O3" s="13"/>
      <c r="P3" s="13"/>
      <c r="Q3" s="13"/>
      <c r="R3" s="13"/>
      <c r="S3" s="13"/>
      <c r="T3" s="13"/>
      <c r="U3" s="13"/>
      <c r="V3" s="13"/>
      <c r="W3" s="13"/>
    </row>
    <row r="4" spans="1:23" x14ac:dyDescent="0.3">
      <c r="A4" s="13"/>
      <c r="B4" s="13"/>
      <c r="C4" s="13"/>
      <c r="D4" s="13"/>
      <c r="E4" s="13"/>
      <c r="F4" s="13"/>
      <c r="G4" s="13"/>
      <c r="H4" s="13"/>
      <c r="I4" s="13"/>
      <c r="J4" s="13"/>
      <c r="K4" s="13"/>
      <c r="L4" s="13"/>
      <c r="M4" s="13"/>
      <c r="N4" s="13"/>
      <c r="O4" s="13"/>
      <c r="P4" s="13"/>
      <c r="Q4" s="13"/>
      <c r="R4" s="13"/>
      <c r="S4" s="13"/>
      <c r="T4" s="13"/>
      <c r="U4" s="13"/>
      <c r="V4" s="13"/>
      <c r="W4" s="13"/>
    </row>
    <row r="5" spans="1:23" x14ac:dyDescent="0.3">
      <c r="A5" s="13"/>
      <c r="B5" s="13"/>
      <c r="C5" s="13"/>
      <c r="D5" s="13"/>
      <c r="E5" s="13"/>
      <c r="F5" s="13"/>
      <c r="G5" s="13"/>
      <c r="H5" s="13"/>
      <c r="I5" s="13"/>
      <c r="J5" s="13"/>
      <c r="K5" s="13"/>
      <c r="L5" s="13"/>
      <c r="M5" s="13"/>
      <c r="N5" s="13"/>
      <c r="O5" s="13"/>
      <c r="P5" s="13"/>
      <c r="Q5" s="13"/>
      <c r="R5" s="13"/>
      <c r="S5" s="13"/>
      <c r="T5" s="13"/>
      <c r="U5" s="13"/>
      <c r="V5" s="13"/>
      <c r="W5" s="13"/>
    </row>
    <row r="6" spans="1:23" x14ac:dyDescent="0.3">
      <c r="A6" s="13"/>
      <c r="B6" s="13"/>
      <c r="C6" s="13"/>
      <c r="D6" s="13"/>
      <c r="E6" s="13"/>
      <c r="F6" s="13"/>
      <c r="G6" s="13"/>
      <c r="H6" s="13"/>
      <c r="I6" s="13"/>
      <c r="J6" s="13"/>
      <c r="K6" s="13"/>
      <c r="L6" s="13"/>
      <c r="M6" s="13"/>
      <c r="N6" s="13"/>
      <c r="O6" s="13"/>
      <c r="P6" s="13"/>
      <c r="Q6" s="13"/>
      <c r="R6" s="13"/>
      <c r="S6" s="13"/>
      <c r="T6" s="13"/>
      <c r="U6" s="13"/>
      <c r="V6" s="13"/>
      <c r="W6" s="13"/>
    </row>
    <row r="7" spans="1:23" x14ac:dyDescent="0.3">
      <c r="A7" s="13"/>
      <c r="B7" s="13"/>
      <c r="C7" s="13"/>
      <c r="D7" s="13"/>
      <c r="E7" s="13"/>
      <c r="F7" s="13"/>
      <c r="G7" s="13"/>
      <c r="H7" s="13"/>
      <c r="I7" s="13"/>
      <c r="J7" s="13"/>
      <c r="K7" s="13"/>
      <c r="L7" s="13"/>
      <c r="M7" s="13"/>
      <c r="N7" s="13"/>
      <c r="O7" s="13"/>
      <c r="P7" s="13"/>
      <c r="Q7" s="13"/>
      <c r="R7" s="13"/>
      <c r="S7" s="13"/>
      <c r="T7" s="13"/>
      <c r="U7" s="13"/>
      <c r="V7" s="13"/>
      <c r="W7" s="13"/>
    </row>
    <row r="8" spans="1:23" x14ac:dyDescent="0.3">
      <c r="A8" s="13"/>
      <c r="B8" s="13"/>
      <c r="C8" s="13"/>
      <c r="D8" s="13"/>
      <c r="E8" s="13"/>
      <c r="F8" s="13"/>
      <c r="G8" s="13"/>
      <c r="H8" s="13"/>
      <c r="I8" s="13"/>
      <c r="J8" s="13"/>
      <c r="K8" s="13"/>
      <c r="L8" s="13"/>
      <c r="M8" s="13"/>
      <c r="N8" s="13"/>
      <c r="O8" s="13"/>
      <c r="P8" s="13"/>
      <c r="Q8" s="13"/>
      <c r="R8" s="13"/>
      <c r="S8" s="13"/>
      <c r="T8" s="13"/>
      <c r="U8" s="13"/>
      <c r="V8" s="13"/>
      <c r="W8" s="13"/>
    </row>
    <row r="9" spans="1:23" x14ac:dyDescent="0.3">
      <c r="A9" s="13"/>
      <c r="B9" s="13"/>
      <c r="C9" s="13"/>
      <c r="D9" s="13"/>
      <c r="E9" s="13"/>
      <c r="F9" s="13"/>
      <c r="G9" s="13"/>
      <c r="H9" s="13"/>
      <c r="I9" s="13"/>
      <c r="J9" s="13"/>
      <c r="K9" s="13"/>
      <c r="L9" s="13"/>
      <c r="M9" s="13"/>
      <c r="N9" s="13"/>
      <c r="O9" s="13"/>
      <c r="P9" s="13"/>
      <c r="Q9" s="13"/>
      <c r="R9" s="13"/>
      <c r="S9" s="13"/>
      <c r="T9" s="13"/>
      <c r="U9" s="13"/>
      <c r="V9" s="13"/>
      <c r="W9" s="13"/>
    </row>
    <row r="10" spans="1:23" x14ac:dyDescent="0.3">
      <c r="A10" s="13"/>
      <c r="B10" s="13"/>
      <c r="C10" s="13"/>
      <c r="D10" s="13"/>
      <c r="E10" s="13"/>
      <c r="F10" s="13"/>
      <c r="G10" s="13"/>
      <c r="H10" s="13"/>
      <c r="I10" s="13"/>
      <c r="J10" s="13"/>
      <c r="K10" s="13"/>
      <c r="L10" s="13"/>
      <c r="M10" s="13"/>
      <c r="N10" s="13"/>
      <c r="O10" s="13"/>
      <c r="P10" s="13"/>
      <c r="Q10" s="13"/>
      <c r="R10" s="13"/>
      <c r="S10" s="13"/>
      <c r="T10" s="13"/>
      <c r="U10" s="13"/>
      <c r="V10" s="13"/>
      <c r="W10" s="13"/>
    </row>
    <row r="11" spans="1:23" x14ac:dyDescent="0.3">
      <c r="A11" s="13"/>
      <c r="B11" s="13"/>
      <c r="C11" s="13"/>
      <c r="D11" s="13"/>
      <c r="E11" s="13"/>
      <c r="F11" s="13"/>
      <c r="G11" s="13"/>
      <c r="H11" s="13"/>
      <c r="I11" s="13"/>
      <c r="J11" s="13"/>
      <c r="K11" s="13"/>
      <c r="L11" s="13"/>
      <c r="M11" s="13"/>
      <c r="N11" s="13"/>
      <c r="O11" s="13"/>
      <c r="P11" s="13"/>
      <c r="Q11" s="13"/>
      <c r="R11" s="13"/>
      <c r="S11" s="13"/>
      <c r="T11" s="13"/>
      <c r="U11" s="13"/>
      <c r="V11" s="13"/>
      <c r="W11" s="13"/>
    </row>
    <row r="12" spans="1:23" x14ac:dyDescent="0.3">
      <c r="A12" s="13"/>
      <c r="B12" s="13"/>
      <c r="C12" s="13"/>
      <c r="D12" s="13"/>
      <c r="E12" s="13"/>
      <c r="F12" s="13"/>
      <c r="G12" s="13"/>
      <c r="H12" s="13"/>
      <c r="I12" s="13"/>
      <c r="J12" s="13"/>
      <c r="K12" s="13"/>
      <c r="L12" s="13"/>
      <c r="M12" s="13"/>
      <c r="N12" s="13"/>
      <c r="O12" s="13"/>
      <c r="P12" s="13"/>
      <c r="Q12" s="13"/>
      <c r="R12" s="13"/>
      <c r="S12" s="13"/>
      <c r="T12" s="13"/>
      <c r="U12" s="13"/>
      <c r="V12" s="13"/>
      <c r="W12" s="13"/>
    </row>
    <row r="13" spans="1:23" x14ac:dyDescent="0.3">
      <c r="A13" s="13"/>
      <c r="B13" s="13"/>
      <c r="C13" s="13"/>
      <c r="D13" s="13"/>
      <c r="E13" s="13"/>
      <c r="F13" s="13"/>
      <c r="G13" s="13"/>
      <c r="H13" s="13"/>
      <c r="I13" s="13"/>
      <c r="J13" s="13"/>
      <c r="K13" s="13"/>
      <c r="L13" s="13"/>
      <c r="M13" s="13"/>
      <c r="N13" s="13"/>
      <c r="O13" s="13"/>
      <c r="P13" s="13"/>
      <c r="Q13" s="13"/>
      <c r="R13" s="13"/>
      <c r="S13" s="13"/>
      <c r="T13" s="13"/>
      <c r="U13" s="13"/>
      <c r="V13" s="13"/>
      <c r="W13" s="13"/>
    </row>
    <row r="14" spans="1:23" x14ac:dyDescent="0.3">
      <c r="A14" s="13"/>
      <c r="B14" s="13"/>
      <c r="C14" s="13"/>
      <c r="D14" s="13"/>
      <c r="E14" s="13"/>
      <c r="F14" s="13"/>
      <c r="G14" s="13"/>
      <c r="H14" s="13"/>
      <c r="I14" s="13"/>
      <c r="J14" s="13"/>
      <c r="K14" s="13"/>
      <c r="L14" s="13"/>
      <c r="M14" s="13"/>
      <c r="N14" s="13"/>
      <c r="O14" s="13"/>
      <c r="P14" s="13"/>
      <c r="Q14" s="13"/>
      <c r="R14" s="13"/>
      <c r="S14" s="13"/>
      <c r="T14" s="13"/>
      <c r="U14" s="13"/>
      <c r="V14" s="13"/>
      <c r="W14" s="13"/>
    </row>
    <row r="15" spans="1:23" x14ac:dyDescent="0.3">
      <c r="A15" s="13"/>
      <c r="B15" s="13"/>
      <c r="C15" s="13"/>
      <c r="D15" s="13"/>
      <c r="E15" s="13"/>
      <c r="F15" s="13"/>
      <c r="G15" s="13"/>
      <c r="H15" s="13"/>
      <c r="I15" s="13"/>
      <c r="J15" s="13"/>
      <c r="K15" s="13"/>
      <c r="L15" s="13"/>
      <c r="M15" s="13"/>
      <c r="N15" s="13"/>
      <c r="O15" s="13"/>
      <c r="P15" s="13"/>
      <c r="Q15" s="13"/>
      <c r="R15" s="13"/>
      <c r="S15" s="13"/>
      <c r="T15" s="13"/>
      <c r="U15" s="13"/>
      <c r="V15" s="13"/>
      <c r="W15" s="13"/>
    </row>
    <row r="16" spans="1:23" x14ac:dyDescent="0.3">
      <c r="A16" s="13"/>
      <c r="B16" s="13"/>
      <c r="C16" s="13"/>
      <c r="D16" s="13"/>
      <c r="E16" s="13"/>
      <c r="F16" s="13"/>
      <c r="G16" s="13"/>
      <c r="H16" s="13"/>
      <c r="I16" s="13"/>
      <c r="J16" s="13"/>
      <c r="K16" s="13"/>
      <c r="L16" s="13"/>
      <c r="M16" s="13"/>
      <c r="N16" s="13"/>
      <c r="O16" s="13"/>
      <c r="P16" s="13"/>
      <c r="Q16" s="13"/>
      <c r="R16" s="13"/>
      <c r="S16" s="13"/>
      <c r="T16" s="13"/>
      <c r="U16" s="13"/>
      <c r="V16" s="13"/>
      <c r="W16" s="13" t="s">
        <v>59</v>
      </c>
    </row>
    <row r="17" spans="1:23" x14ac:dyDescent="0.3">
      <c r="A17" s="13"/>
      <c r="B17" s="13"/>
      <c r="C17" s="13"/>
      <c r="D17" s="13"/>
      <c r="E17" s="13"/>
      <c r="F17" s="13"/>
      <c r="G17" s="13"/>
      <c r="H17" s="13"/>
      <c r="I17" s="13"/>
      <c r="J17" s="13"/>
      <c r="K17" s="13"/>
      <c r="L17" s="13"/>
      <c r="M17" s="13"/>
      <c r="N17" s="13"/>
      <c r="O17" s="13"/>
      <c r="P17" s="13"/>
      <c r="Q17" s="13"/>
      <c r="R17" s="13"/>
      <c r="S17" s="13"/>
      <c r="T17" s="13"/>
      <c r="U17" s="13"/>
      <c r="V17" s="13"/>
      <c r="W17" s="13"/>
    </row>
    <row r="18" spans="1:23" x14ac:dyDescent="0.3">
      <c r="A18" s="13"/>
      <c r="B18" s="13"/>
      <c r="C18" s="13"/>
      <c r="D18" s="13"/>
      <c r="E18" s="13"/>
      <c r="F18" s="13"/>
      <c r="G18" s="13"/>
      <c r="H18" s="13"/>
      <c r="I18" s="13"/>
      <c r="J18" s="13"/>
      <c r="K18" s="13"/>
      <c r="L18" s="13"/>
      <c r="M18" s="13"/>
      <c r="N18" s="13"/>
      <c r="O18" s="13"/>
      <c r="P18" s="13"/>
      <c r="Q18" s="13"/>
      <c r="R18" s="13"/>
      <c r="S18" s="13"/>
      <c r="T18" s="13"/>
      <c r="U18" s="13"/>
      <c r="V18" s="13"/>
      <c r="W18" s="13"/>
    </row>
    <row r="19" spans="1:23" x14ac:dyDescent="0.3">
      <c r="A19" s="13"/>
      <c r="B19" s="13"/>
      <c r="C19" s="13"/>
      <c r="D19" s="13"/>
      <c r="E19" s="13"/>
      <c r="F19" s="13"/>
      <c r="G19" s="13"/>
      <c r="H19" s="13"/>
      <c r="I19" s="13"/>
      <c r="J19" s="13"/>
      <c r="K19" s="13"/>
      <c r="L19" s="13"/>
      <c r="M19" s="13"/>
      <c r="N19" s="13"/>
      <c r="O19" s="13"/>
      <c r="P19" s="13"/>
      <c r="Q19" s="13"/>
      <c r="R19" s="13"/>
      <c r="S19" s="13"/>
      <c r="T19" s="13"/>
      <c r="U19" s="13"/>
      <c r="V19" s="13"/>
      <c r="W19" s="13"/>
    </row>
    <row r="20" spans="1:23" x14ac:dyDescent="0.3">
      <c r="A20" s="13"/>
      <c r="B20" s="13"/>
      <c r="C20" s="13"/>
      <c r="D20" s="13"/>
      <c r="E20" s="13"/>
      <c r="F20" s="13"/>
      <c r="G20" s="13"/>
      <c r="H20" s="13"/>
      <c r="I20" s="13"/>
      <c r="J20" s="13"/>
      <c r="K20" s="13"/>
      <c r="L20" s="13"/>
      <c r="M20" s="13"/>
      <c r="N20" s="13"/>
      <c r="O20" s="13"/>
      <c r="P20" s="13"/>
      <c r="Q20" s="13"/>
      <c r="R20" s="13"/>
      <c r="S20" s="13"/>
      <c r="T20" s="13"/>
      <c r="U20" s="13"/>
      <c r="V20" s="13"/>
      <c r="W20" s="13"/>
    </row>
    <row r="21" spans="1:23" x14ac:dyDescent="0.3">
      <c r="A21" s="13"/>
      <c r="B21" s="13"/>
      <c r="C21" s="13"/>
      <c r="D21" s="13"/>
      <c r="E21" s="13"/>
      <c r="F21" s="13"/>
      <c r="G21" s="13"/>
      <c r="H21" s="13"/>
      <c r="I21" s="13"/>
      <c r="J21" s="13"/>
      <c r="K21" s="13"/>
      <c r="L21" s="13"/>
      <c r="M21" s="13"/>
      <c r="N21" s="13"/>
      <c r="O21" s="13"/>
      <c r="P21" s="13"/>
      <c r="Q21" s="13"/>
      <c r="R21" s="13"/>
      <c r="S21" s="13"/>
      <c r="T21" s="13"/>
      <c r="U21" s="13"/>
      <c r="V21" s="13"/>
      <c r="W21" s="13"/>
    </row>
    <row r="22" spans="1:23" x14ac:dyDescent="0.3">
      <c r="A22" s="13"/>
      <c r="B22" s="13"/>
      <c r="C22" s="13"/>
      <c r="D22" s="13"/>
      <c r="E22" s="13"/>
      <c r="F22" s="13"/>
      <c r="G22" s="13"/>
      <c r="H22" s="13"/>
      <c r="I22" s="13"/>
      <c r="J22" s="13"/>
      <c r="K22" s="13"/>
      <c r="L22" s="13"/>
      <c r="M22" s="13"/>
      <c r="N22" s="13"/>
      <c r="O22" s="13"/>
      <c r="P22" s="13"/>
      <c r="Q22" s="13"/>
      <c r="R22" s="13"/>
      <c r="S22" s="13"/>
      <c r="T22" s="13"/>
      <c r="U22" s="13"/>
      <c r="V22" s="13"/>
      <c r="W22" s="13"/>
    </row>
    <row r="23" spans="1:23" x14ac:dyDescent="0.3">
      <c r="A23" s="13"/>
      <c r="B23" s="13"/>
      <c r="C23" s="13"/>
      <c r="D23" s="13"/>
      <c r="E23" s="13"/>
      <c r="F23" s="13"/>
      <c r="G23" s="13"/>
      <c r="H23" s="13"/>
      <c r="I23" s="13"/>
      <c r="J23" s="13"/>
      <c r="K23" s="13"/>
      <c r="L23" s="13"/>
      <c r="M23" s="13"/>
      <c r="N23" s="13"/>
      <c r="O23" s="13"/>
      <c r="P23" s="13"/>
      <c r="Q23" s="13"/>
      <c r="R23" s="13"/>
      <c r="S23" s="13"/>
      <c r="T23" s="13"/>
      <c r="U23" s="13"/>
      <c r="V23" s="13"/>
      <c r="W23" s="13"/>
    </row>
    <row r="24" spans="1:23" x14ac:dyDescent="0.3">
      <c r="A24" s="13"/>
      <c r="B24" s="13"/>
      <c r="C24" s="13"/>
      <c r="D24" s="13"/>
      <c r="E24" s="13"/>
      <c r="F24" s="13"/>
      <c r="G24" s="13"/>
      <c r="H24" s="13"/>
      <c r="I24" s="13"/>
      <c r="J24" s="13"/>
      <c r="K24" s="13"/>
      <c r="L24" s="13"/>
      <c r="M24" s="13"/>
      <c r="N24" s="13"/>
      <c r="O24" s="13"/>
      <c r="P24" s="13"/>
      <c r="Q24" s="13"/>
      <c r="R24" s="13"/>
      <c r="S24" s="13"/>
      <c r="T24" s="13"/>
      <c r="U24" s="13"/>
      <c r="V24" s="13"/>
      <c r="W24" s="13"/>
    </row>
    <row r="25" spans="1:23" x14ac:dyDescent="0.3">
      <c r="A25" s="13"/>
      <c r="B25" s="13"/>
      <c r="C25" s="13"/>
      <c r="D25" s="13"/>
      <c r="E25" s="13"/>
      <c r="F25" s="13"/>
      <c r="G25" s="13"/>
      <c r="H25" s="13"/>
      <c r="I25" s="13"/>
      <c r="J25" s="13"/>
      <c r="K25" s="13"/>
      <c r="L25" s="13"/>
      <c r="M25" s="13"/>
      <c r="N25" s="13"/>
      <c r="O25" s="13"/>
      <c r="P25" s="13"/>
      <c r="Q25" s="13"/>
      <c r="R25" s="13"/>
      <c r="S25" s="13"/>
      <c r="T25" s="13"/>
      <c r="U25" s="13"/>
      <c r="V25" s="13"/>
      <c r="W25" s="13"/>
    </row>
    <row r="26" spans="1:23" x14ac:dyDescent="0.3">
      <c r="A26" s="13"/>
      <c r="B26" s="13"/>
      <c r="C26" s="13"/>
      <c r="D26" s="13"/>
      <c r="E26" s="13"/>
      <c r="F26" s="13"/>
      <c r="G26" s="13"/>
      <c r="H26" s="13"/>
      <c r="I26" s="13"/>
      <c r="J26" s="13"/>
      <c r="K26" s="13"/>
      <c r="L26" s="13"/>
      <c r="M26" s="13"/>
      <c r="N26" s="13"/>
      <c r="O26" s="13"/>
      <c r="P26" s="13"/>
      <c r="Q26" s="13"/>
      <c r="R26" s="13"/>
      <c r="S26" s="13"/>
      <c r="T26" s="13"/>
      <c r="U26" s="13"/>
      <c r="V26" s="13"/>
      <c r="W26" s="13"/>
    </row>
    <row r="27" spans="1:23" x14ac:dyDescent="0.3">
      <c r="A27" s="13"/>
      <c r="B27" s="13"/>
      <c r="C27" s="13"/>
      <c r="D27" s="13"/>
      <c r="E27" s="13"/>
      <c r="F27" s="13"/>
      <c r="G27" s="13"/>
      <c r="H27" s="13"/>
      <c r="I27" s="13"/>
      <c r="J27" s="13"/>
      <c r="K27" s="13"/>
      <c r="L27" s="13"/>
      <c r="M27" s="13"/>
      <c r="N27" s="13"/>
      <c r="O27" s="13"/>
      <c r="P27" s="13"/>
      <c r="Q27" s="13"/>
      <c r="R27" s="13"/>
      <c r="S27" s="13"/>
      <c r="T27" s="13"/>
      <c r="U27" s="13"/>
      <c r="V27" s="13"/>
      <c r="W27" s="13"/>
    </row>
    <row r="28" spans="1:23" x14ac:dyDescent="0.3">
      <c r="A28" s="13"/>
      <c r="B28" s="13"/>
      <c r="C28" s="13"/>
      <c r="D28" s="13"/>
      <c r="E28" s="13"/>
      <c r="F28" s="13"/>
      <c r="G28" s="13"/>
      <c r="H28" s="13"/>
      <c r="I28" s="13"/>
      <c r="J28" s="13"/>
      <c r="K28" s="13"/>
      <c r="L28" s="13"/>
      <c r="M28" s="13"/>
      <c r="N28" s="13"/>
      <c r="O28" s="13"/>
      <c r="P28" s="13"/>
      <c r="Q28" s="13"/>
      <c r="R28" s="13"/>
      <c r="S28" s="13"/>
      <c r="T28" s="13"/>
      <c r="U28" s="13"/>
      <c r="V28" s="13"/>
      <c r="W28" s="13"/>
    </row>
    <row r="29" spans="1:23" x14ac:dyDescent="0.3">
      <c r="A29" s="13"/>
      <c r="B29" s="13"/>
      <c r="C29" s="13"/>
      <c r="D29" s="13"/>
      <c r="E29" s="13"/>
      <c r="F29" s="13"/>
      <c r="G29" s="13"/>
      <c r="H29" s="13"/>
      <c r="I29" s="13"/>
      <c r="J29" s="13"/>
      <c r="K29" s="13"/>
      <c r="L29" s="13"/>
      <c r="M29" s="13"/>
      <c r="N29" s="13"/>
      <c r="O29" s="13"/>
      <c r="P29" s="13"/>
      <c r="Q29" s="13"/>
      <c r="R29" s="13"/>
      <c r="S29" s="13"/>
      <c r="T29" s="13"/>
      <c r="U29" s="13"/>
      <c r="V29" s="13"/>
      <c r="W29" s="13"/>
    </row>
    <row r="30" spans="1:23" x14ac:dyDescent="0.3">
      <c r="A30" s="13"/>
      <c r="B30" s="13"/>
      <c r="C30" s="13"/>
      <c r="D30" s="13"/>
      <c r="E30" s="13"/>
      <c r="F30" s="13"/>
      <c r="G30" s="13"/>
      <c r="H30" s="13"/>
      <c r="I30" s="13"/>
      <c r="J30" s="13"/>
      <c r="K30" s="13"/>
      <c r="L30" s="13"/>
      <c r="M30" s="13"/>
      <c r="N30" s="13"/>
      <c r="O30" s="13"/>
      <c r="P30" s="13"/>
      <c r="Q30" s="13"/>
      <c r="R30" s="13"/>
      <c r="S30" s="13"/>
      <c r="T30" s="13"/>
      <c r="U30" s="13"/>
      <c r="V30" s="13"/>
      <c r="W30" s="13"/>
    </row>
    <row r="31" spans="1:23" x14ac:dyDescent="0.3">
      <c r="A31" s="13"/>
      <c r="B31" s="13"/>
      <c r="C31" s="13"/>
      <c r="D31" s="13"/>
      <c r="E31" s="13"/>
      <c r="F31" s="13"/>
      <c r="G31" s="13"/>
      <c r="H31" s="13"/>
      <c r="I31" s="13"/>
      <c r="J31" s="13"/>
      <c r="K31" s="13"/>
      <c r="L31" s="13"/>
      <c r="M31" s="13"/>
      <c r="N31" s="13"/>
      <c r="O31" s="13"/>
      <c r="P31" s="13"/>
      <c r="Q31" s="13"/>
      <c r="R31" s="13"/>
      <c r="S31" s="13"/>
      <c r="T31" s="13"/>
      <c r="U31" s="13"/>
      <c r="V31" s="13"/>
      <c r="W31" s="13"/>
    </row>
    <row r="32" spans="1:23" x14ac:dyDescent="0.3">
      <c r="A32" s="13"/>
      <c r="B32" s="13"/>
      <c r="C32" s="13"/>
      <c r="D32" s="13"/>
      <c r="E32" s="13"/>
      <c r="F32" s="13"/>
      <c r="G32" s="13"/>
      <c r="H32" s="13"/>
      <c r="I32" s="13"/>
      <c r="J32" s="13"/>
      <c r="K32" s="13"/>
      <c r="L32" s="13"/>
      <c r="M32" s="13"/>
      <c r="N32" s="13"/>
      <c r="O32" s="13"/>
      <c r="P32" s="13"/>
      <c r="Q32" s="13"/>
      <c r="R32" s="13"/>
      <c r="S32" s="13"/>
      <c r="T32" s="13"/>
      <c r="U32" s="13"/>
      <c r="V32" s="13"/>
      <c r="W32" s="13"/>
    </row>
    <row r="33" spans="1:23" x14ac:dyDescent="0.3">
      <c r="A33" s="13"/>
      <c r="B33" s="13"/>
      <c r="C33" s="13"/>
      <c r="D33" s="13"/>
      <c r="E33" s="13"/>
      <c r="F33" s="13"/>
      <c r="G33" s="13"/>
      <c r="H33" s="13"/>
      <c r="I33" s="13"/>
      <c r="J33" s="13"/>
      <c r="K33" s="13"/>
      <c r="L33" s="13"/>
      <c r="M33" s="13"/>
      <c r="N33" s="13"/>
      <c r="O33" s="13"/>
      <c r="P33" s="13"/>
      <c r="Q33" s="13"/>
      <c r="R33" s="13"/>
      <c r="S33" s="13"/>
      <c r="T33" s="13"/>
      <c r="U33" s="13"/>
      <c r="V33" s="13"/>
      <c r="W33" s="13"/>
    </row>
    <row r="34" spans="1:23" x14ac:dyDescent="0.3">
      <c r="A34" s="13"/>
      <c r="B34" s="13"/>
      <c r="C34" s="13"/>
      <c r="D34" s="13"/>
      <c r="E34" s="13"/>
      <c r="F34" s="13"/>
      <c r="G34" s="13"/>
      <c r="H34" s="13"/>
      <c r="I34" s="13"/>
      <c r="J34" s="13"/>
      <c r="K34" s="13"/>
      <c r="L34" s="13"/>
      <c r="M34" s="13"/>
      <c r="N34" s="13"/>
      <c r="O34" s="13"/>
      <c r="P34" s="13"/>
      <c r="Q34" s="13"/>
      <c r="R34" s="13"/>
      <c r="S34" s="13"/>
      <c r="T34" s="13"/>
      <c r="U34" s="13"/>
      <c r="V34" s="13"/>
      <c r="W34" s="1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B8B1C-997F-404A-A721-12B2B4DA4D3C}">
  <dimension ref="E28"/>
  <sheetViews>
    <sheetView showOutlineSymbols="0" showWhiteSpace="0" workbookViewId="0"/>
  </sheetViews>
  <sheetFormatPr defaultRowHeight="14.4" x14ac:dyDescent="0.3"/>
  <sheetData>
    <row r="28" spans="5:5" ht="15.6" x14ac:dyDescent="0.3">
      <c r="E28" s="5" t="s">
        <v>37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B82F1-47B1-4FC5-939B-B5BF84516636}">
  <dimension ref="D29"/>
  <sheetViews>
    <sheetView workbookViewId="0"/>
  </sheetViews>
  <sheetFormatPr defaultRowHeight="14.4" x14ac:dyDescent="0.3"/>
  <sheetData>
    <row r="29" spans="4:4" ht="15.6" x14ac:dyDescent="0.3">
      <c r="D29" s="5" t="s">
        <v>36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5603E-B191-4723-90D0-A68C51CCFC66}">
  <dimension ref="D29"/>
  <sheetViews>
    <sheetView workbookViewId="0"/>
  </sheetViews>
  <sheetFormatPr defaultRowHeight="14.4" x14ac:dyDescent="0.3"/>
  <sheetData>
    <row r="29" spans="4:4" ht="15.6" x14ac:dyDescent="0.3">
      <c r="D29" s="5" t="s">
        <v>38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71B5305-6609-4800-BBEF-04CEBFC726E6}">
  <ds:schemaRefs/>
</ds:datastoreItem>
</file>

<file path=customXml/itemProps2.xml><?xml version="1.0" encoding="utf-8"?>
<ds:datastoreItem xmlns:ds="http://schemas.openxmlformats.org/officeDocument/2006/customXml" ds:itemID="{A09A92AC-A2BD-4C36-9DEF-40202E3485BB}">
  <ds:schemaRefs/>
</ds:datastoreItem>
</file>

<file path=customXml/itemProps3.xml><?xml version="1.0" encoding="utf-8"?>
<ds:datastoreItem xmlns:ds="http://schemas.openxmlformats.org/officeDocument/2006/customXml" ds:itemID="{64B7457C-83E5-4E33-BC54-76A83DD65860}">
  <ds:schemaRefs/>
</ds:datastoreItem>
</file>

<file path=customXml/itemProps4.xml><?xml version="1.0" encoding="utf-8"?>
<ds:datastoreItem xmlns:ds="http://schemas.openxmlformats.org/officeDocument/2006/customXml" ds:itemID="{D984DF35-93DC-4BF7-B1CA-83BDCDCFE4B1}">
  <ds:schemaRefs/>
</ds:datastoreItem>
</file>

<file path=customXml/itemProps5.xml><?xml version="1.0" encoding="utf-8"?>
<ds:datastoreItem xmlns:ds="http://schemas.openxmlformats.org/officeDocument/2006/customXml" ds:itemID="{C00B0494-4868-460F-9874-E1CD350F28A0}">
  <ds:schemaRefs/>
</ds:datastoreItem>
</file>

<file path=customXml/itemProps6.xml><?xml version="1.0" encoding="utf-8"?>
<ds:datastoreItem xmlns:ds="http://schemas.openxmlformats.org/officeDocument/2006/customXml" ds:itemID="{A24456D0-14D0-4F15-8B37-86887F6F6C2E}">
  <ds:schemaRefs/>
</ds:datastoreItem>
</file>

<file path=customXml/itemProps7.xml><?xml version="1.0" encoding="utf-8"?>
<ds:datastoreItem xmlns:ds="http://schemas.openxmlformats.org/officeDocument/2006/customXml" ds:itemID="{483A7C53-2883-4074-847A-F47C97B8F231}">
  <ds:schemaRefs>
    <ds:schemaRef ds:uri="http://schemas.microsoft.com/DataMashup"/>
  </ds:schemaRefs>
</ds:datastoreItem>
</file>

<file path=customXml/itemProps8.xml><?xml version="1.0" encoding="utf-8"?>
<ds:datastoreItem xmlns:ds="http://schemas.openxmlformats.org/officeDocument/2006/customXml" ds:itemID="{ED4C0FE6-F501-4D25-BCA2-269A86B09010}">
  <ds:schemaRefs/>
</ds:datastoreItem>
</file>

<file path=customXml/itemProps9.xml><?xml version="1.0" encoding="utf-8"?>
<ds:datastoreItem xmlns:ds="http://schemas.openxmlformats.org/officeDocument/2006/customXml" ds:itemID="{1CB4A7A2-74AE-42CF-A59D-0FCB0306B615}">
  <ds:schemaRefs/>
</ds:datastoreItem>
</file>

<file path=customXml/itemProps10.xml><?xml version="1.0" encoding="utf-8"?>
<ds:datastoreItem xmlns:ds="http://schemas.openxmlformats.org/officeDocument/2006/customXml" ds:itemID="{0BDE5A0D-DB56-45FF-AEDC-C450BE57B66B}">
  <ds:schemaRefs/>
</ds:datastoreItem>
</file>

<file path=customXml/itemProps11.xml><?xml version="1.0" encoding="utf-8"?>
<ds:datastoreItem xmlns:ds="http://schemas.openxmlformats.org/officeDocument/2006/customXml" ds:itemID="{4D36D90F-5191-4954-9352-F9B8BD78DB8F}">
  <ds:schemaRefs/>
</ds:datastoreItem>
</file>

<file path=customXml/itemProps12.xml><?xml version="1.0" encoding="utf-8"?>
<ds:datastoreItem xmlns:ds="http://schemas.openxmlformats.org/officeDocument/2006/customXml" ds:itemID="{E9BCE3FC-B840-4898-BBB6-3FEA2EFF6567}">
  <ds:schemaRefs/>
</ds:datastoreItem>
</file>

<file path=customXml/itemProps13.xml><?xml version="1.0" encoding="utf-8"?>
<ds:datastoreItem xmlns:ds="http://schemas.openxmlformats.org/officeDocument/2006/customXml" ds:itemID="{EE33A529-6FCA-4584-9FDA-0A541689977F}">
  <ds:schemaRefs/>
</ds:datastoreItem>
</file>

<file path=customXml/itemProps14.xml><?xml version="1.0" encoding="utf-8"?>
<ds:datastoreItem xmlns:ds="http://schemas.openxmlformats.org/officeDocument/2006/customXml" ds:itemID="{7157CA92-CCAF-464C-B6E2-4536181604B2}">
  <ds:schemaRefs/>
</ds:datastoreItem>
</file>

<file path=customXml/itemProps15.xml><?xml version="1.0" encoding="utf-8"?>
<ds:datastoreItem xmlns:ds="http://schemas.openxmlformats.org/officeDocument/2006/customXml" ds:itemID="{12B29492-2EB8-4362-B450-4586B4E2E6D0}">
  <ds:schemaRefs/>
</ds:datastoreItem>
</file>

<file path=customXml/itemProps16.xml><?xml version="1.0" encoding="utf-8"?>
<ds:datastoreItem xmlns:ds="http://schemas.openxmlformats.org/officeDocument/2006/customXml" ds:itemID="{0E20857C-D0D5-442D-8F9D-47413D17F8C4}">
  <ds:schemaRefs/>
</ds:datastoreItem>
</file>

<file path=customXml/itemProps17.xml><?xml version="1.0" encoding="utf-8"?>
<ds:datastoreItem xmlns:ds="http://schemas.openxmlformats.org/officeDocument/2006/customXml" ds:itemID="{0AE3311B-70C9-4DBF-B2E2-97F77600342C}">
  <ds:schemaRefs/>
</ds:datastoreItem>
</file>

<file path=customXml/itemProps18.xml><?xml version="1.0" encoding="utf-8"?>
<ds:datastoreItem xmlns:ds="http://schemas.openxmlformats.org/officeDocument/2006/customXml" ds:itemID="{4C19CBA5-A9BC-4076-A466-2480009FEB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No. of Patients</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Abhijeet Kadam</dc:creator>
  <cp:lastModifiedBy>Mohd Aftab</cp:lastModifiedBy>
  <dcterms:created xsi:type="dcterms:W3CDTF">2025-07-17T12:04:48Z</dcterms:created>
  <dcterms:modified xsi:type="dcterms:W3CDTF">2026-09-18T04:17:21Z</dcterms:modified>
</cp:coreProperties>
</file>